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m30\Documents\GitHub\Biphasic-data-acquisition-system\DAQ_design\Assisi\v0.2.0\"/>
    </mc:Choice>
  </mc:AlternateContent>
  <xr:revisionPtr revIDLastSave="0" documentId="13_ncr:1_{F356671C-1991-4516-A097-4E1783A65288}" xr6:coauthVersionLast="47" xr6:coauthVersionMax="47" xr10:uidLastSave="{00000000-0000-0000-0000-000000000000}"/>
  <bookViews>
    <workbookView xWindow="-110" yWindow="-110" windowWidth="19420" windowHeight="1030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3" i="1"/>
  <c r="E5" i="1"/>
  <c r="E6" i="1"/>
  <c r="E7" i="1"/>
  <c r="E8" i="1"/>
  <c r="E9" i="1"/>
  <c r="E10" i="1"/>
  <c r="E11" i="1"/>
  <c r="E2" i="1"/>
  <c r="E12" i="1" l="1"/>
</calcChain>
</file>

<file path=xl/sharedStrings.xml><?xml version="1.0" encoding="utf-8"?>
<sst xmlns="http://schemas.openxmlformats.org/spreadsheetml/2006/main" count="53" uniqueCount="50">
  <si>
    <t>Total Cost</t>
  </si>
  <si>
    <t>Designator</t>
  </si>
  <si>
    <t>Component</t>
  </si>
  <si>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</si>
  <si>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</si>
  <si>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</si>
  <si>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</si>
  <si>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</si>
  <si>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</si>
  <si>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</si>
  <si>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</si>
  <si>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</si>
  <si>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5V Barrel Jack</t>
  </si>
  <si>
    <t>DSUB-25 Female Connector</t>
  </si>
  <si>
    <t>1k Ohm Resistor</t>
  </si>
  <si>
    <t>10k Ohm Resistor</t>
  </si>
  <si>
    <t>5V1</t>
  </si>
  <si>
    <t>Arduino1</t>
  </si>
  <si>
    <t>BiPhasic_out1</t>
  </si>
  <si>
    <t>R2, R4</t>
  </si>
  <si>
    <t>R3, R6</t>
  </si>
  <si>
    <t>Q1, Q4</t>
  </si>
  <si>
    <t>Q2, Q6</t>
  </si>
  <si>
    <t>Q3, Q5</t>
  </si>
  <si>
    <t>IRF9540N  HEXFET power MOSFET</t>
  </si>
  <si>
    <t>J2 DSUB</t>
  </si>
  <si>
    <t>IRF540N HEXFET power MOSFET</t>
  </si>
  <si>
    <t>D25S33E4PA00LF Amphenol ICC (FCI) | D-Sub Connector Assemblies | DigiKey</t>
  </si>
  <si>
    <t>Connect to NI 9221</t>
  </si>
  <si>
    <t>Arduino Nano Every Microcontroller</t>
  </si>
  <si>
    <t>Every has more RAM than regular Nano</t>
  </si>
  <si>
    <t>ABX00033 Arduino | Embedded MCU, DSP Evaluation Boards | DigiKey</t>
  </si>
  <si>
    <t>RC1206FR-071KL YAGEO | Chip Resistor - Surface Mount | DigiKey</t>
  </si>
  <si>
    <t>Or use resistor book: https://www.adafruit.com/product/441</t>
  </si>
  <si>
    <t>RMCF1206FT10K0 Stackpole Electronics Inc | Chip Resistor - Surface Mount | DigiKey</t>
  </si>
  <si>
    <t>Or use resistor book: https://www.adafruit.com/product/442</t>
  </si>
  <si>
    <t>BC550 Epitaxial Silicon Transistor</t>
  </si>
  <si>
    <t>BC550CTA onsemi | Single Bipolar Transistors | DigiKey</t>
  </si>
  <si>
    <t>IRF9540NPBF Infineon Technologies | Single FETs, MOSFETs | DigiKey</t>
  </si>
  <si>
    <t>IRF540NPBF Infineon Technologies | Single FETs, MOSFETs | DigiKey</t>
  </si>
  <si>
    <t>Need both for complementary pair</t>
  </si>
  <si>
    <t>Amount Per Board</t>
  </si>
  <si>
    <t>PJ-002A Same Sky (Formerly CUI Devices) | Power Connectors | DigiKey</t>
  </si>
  <si>
    <t>Screw Terminal Female</t>
  </si>
  <si>
    <t>Screw Terminal Male</t>
  </si>
  <si>
    <t>Allow for secure yet detachable wiring</t>
  </si>
  <si>
    <t>1757064 Phoenix Contact | Headers, Plugs and Sockets | DigiKey</t>
  </si>
  <si>
    <t>1757297 Phoenix Contact | Headers, Plugs and Sockets | DigiKey</t>
  </si>
  <si>
    <t>BC547BTF onsemi | Single Bipolar Transistors | DigiKey</t>
  </si>
  <si>
    <t>Couldn't find BC550D, but I read BC550CTA is VERY similar. Second vender is part we had in storage (BC547BTF); CTA is higher-gain, low-noise while BTF is mid-gain general purpose.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</si>
</sst>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7" formatCode="&quot;$&quot;#,##0.00_);\(&quot;$&quot;#,##0.00\)"/>
  </numFmts>
  <fonts count="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7" fontId="0" fillId="0" borderId="0" xfId="0" applyNumberFormat="1" applyAlignment="1">
      <alignment horizontal="right" vertical="center"/>
    </xf>
    <xf numFmtId="0" fontId="2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same-sky-formerly-cui-devices/PJ-002A/96962" TargetMode="External"/><Relationship Id="rId3" Type="http://schemas.openxmlformats.org/officeDocument/2006/relationships/hyperlink" Target="https://www.digikey.com/en/products/detail/yageo/RC1206FR-071KL/728387" TargetMode="External"/><Relationship Id="rId7" Type="http://schemas.openxmlformats.org/officeDocument/2006/relationships/hyperlink" Target="https://www.digikey.com/en/products/detail/infineon-technologies/IRF540NPBF/811869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arduino/ABX00033/10239972" TargetMode="External"/><Relationship Id="rId1" Type="http://schemas.openxmlformats.org/officeDocument/2006/relationships/hyperlink" Target="https://www.digikey.com/en/products/detail/amphenol-cs-fci/D25S33E4PA00LF/1538080" TargetMode="External"/><Relationship Id="rId6" Type="http://schemas.openxmlformats.org/officeDocument/2006/relationships/hyperlink" Target="https://www.digikey.com/en/products/detail/infineon-technologies/IRF9540NPBF/812088" TargetMode="External"/><Relationship Id="rId11" Type="http://schemas.openxmlformats.org/officeDocument/2006/relationships/hyperlink" Target="https://www.digikey.com/en/products/detail/onsemi/BC547BTF/976371" TargetMode="External"/><Relationship Id="rId5" Type="http://schemas.openxmlformats.org/officeDocument/2006/relationships/hyperlink" Target="https://www.digikey.com/en/products/detail/onsemi/BC550CTA/974185" TargetMode="External"/><Relationship Id="rId10" Type="http://schemas.openxmlformats.org/officeDocument/2006/relationships/hyperlink" Target="https://www.digikey.com/en/products/detail/phoenix-contact/1757297/260479" TargetMode="External"/><Relationship Id="rId4" Type="http://schemas.openxmlformats.org/officeDocument/2006/relationships/hyperlink" Target="https://www.digikey.com/en/products/detail/stackpole-electronics-inc/RMCF1206FT10K0/1759669" TargetMode="External"/><Relationship Id="rId9" Type="http://schemas.openxmlformats.org/officeDocument/2006/relationships/hyperlink" Target="https://www.digikey.com/en/products/detail/phoenix-contact/1757064/2603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L17"/>
  <sheetViews>
    <sheetView tabSelected="1" zoomScale="115" zoomScaleNormal="115" workbookViewId="0">
      <selection activeCell="D13" sqref="D13"/>
    </sheetView>
  </sheetViews>
  <sheetFormatPr defaultColWidth="8.81640625" defaultRowHeight="14.5" x14ac:dyDescent="0.35"/>
  <cols>
    <col min="1" max="1" width="25.453125" bestFit="1" customWidth="1"/>
    <col min="2" max="2" width="30" bestFit="1" customWidth="1"/>
    <col min="3" max="3" width="15.7265625" bestFit="1" customWidth="1"/>
    <col min="4" max="4" width="13.6328125" bestFit="1" customWidth="1"/>
    <col min="5" max="5" width="9.54296875" bestFit="1" customWidth="1"/>
    <col min="6" max="6" width="147.453125" bestFit="1" customWidth="1"/>
    <col min="7" max="7" width="69.453125" customWidth="1"/>
    <col min="8" max="8" width="76" customWidth="1"/>
    <col min="9" max="9" width="83.54296875" customWidth="1"/>
    <col min="10" max="10" width="62.54296875" customWidth="1"/>
    <col min="11" max="11" width="55.81640625" customWidth="1"/>
    <col min="12" max="12" width="51" customWidth="1"/>
  </cols>
  <sheetData>
    <row r="1" spans="1:12" ht="15" customHeight="1" x14ac:dyDescent="0.35">
      <c r="A1" s="7" t="s">
        <v>1</v>
      </c>
      <c r="B1" s="7" t="s">
        <v>2</v>
      </c>
      <c r="C1" s="7" t="s">
        <v>41</v>
      </c>
      <c r="D1" s="7" t="s">
        <v>3</v>
      </c>
      <c r="E1" s="7" t="s">
        <v>0</v>
      </c>
      <c r="F1" s="7" t="s">
        <v>11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</row>
    <row r="2" spans="1:12" ht="15" customHeight="1" x14ac:dyDescent="0.35">
      <c r="A2" t="s">
        <v>16</v>
      </c>
      <c r="B2" s="2" t="s">
        <v>12</v>
      </c>
      <c r="C2" s="2">
        <v>1</v>
      </c>
      <c r="D2" s="5">
        <v>0.57999999999999996</v>
      </c>
      <c r="E2" s="5">
        <f>D2*C2</f>
        <v>0.57999999999999996</v>
      </c>
      <c r="F2" s="5"/>
      <c r="G2" s="1" t="s">
        <v>42</v>
      </c>
      <c r="H2" s="4"/>
      <c r="I2" s="2"/>
    </row>
    <row r="3" spans="1:12" ht="15" customHeight="1" x14ac:dyDescent="0.35">
      <c r="A3" t="s">
        <v>17</v>
      </c>
      <c r="B3" s="2" t="s">
        <v>29</v>
      </c>
      <c r="C3" s="2">
        <v>1</v>
      </c>
      <c r="D3" s="5">
        <v>14.9</v>
      </c>
      <c r="E3" s="5">
        <f t="shared" ref="E3:E11" si="0">D3*C3</f>
        <v>14.9</v>
      </c>
      <c r="F3" s="5" t="s">
        <v>30</v>
      </c>
      <c r="G3" s="1" t="s">
        <v>31</v>
      </c>
    </row>
    <row r="4" spans="1:12" ht="15" customHeight="1" x14ac:dyDescent="0.35">
      <c r="A4" t="s">
        <v>18</v>
      </c>
      <c r="B4" s="2" t="s">
        <v>44</v>
      </c>
      <c r="C4" s="2">
        <v>1</v>
      </c>
      <c r="D4" s="5">
        <v>4.72</v>
      </c>
      <c r="E4" s="5">
        <f t="shared" si="0"/>
        <v>4.72</v>
      </c>
      <c r="F4" s="5" t="s">
        <v>45</v>
      </c>
      <c r="G4" s="1" t="s">
        <v>47</v>
      </c>
    </row>
    <row r="5" spans="1:12" ht="15" customHeight="1" x14ac:dyDescent="0.35">
      <c r="A5" t="s">
        <v>18</v>
      </c>
      <c r="B5" s="2" t="s">
        <v>43</v>
      </c>
      <c r="C5" s="2">
        <v>1</v>
      </c>
      <c r="D5" s="5">
        <v>12.55</v>
      </c>
      <c r="E5" s="5">
        <f t="shared" si="0"/>
        <v>12.55</v>
      </c>
      <c r="F5" s="5" t="s">
        <v>45</v>
      </c>
      <c r="G5" s="1" t="s">
        <v>46</v>
      </c>
      <c r="H5" s="4"/>
      <c r="I5" s="4"/>
    </row>
    <row r="6" spans="1:12" ht="15" customHeight="1" x14ac:dyDescent="0.35">
      <c r="A6" t="s">
        <v>25</v>
      </c>
      <c r="B6" s="2" t="s">
        <v>13</v>
      </c>
      <c r="C6" s="2">
        <v>1</v>
      </c>
      <c r="D6" s="5">
        <v>1.81</v>
      </c>
      <c r="E6" s="5">
        <f t="shared" si="0"/>
        <v>1.81</v>
      </c>
      <c r="F6" s="5" t="s">
        <v>28</v>
      </c>
      <c r="G6" s="1" t="s">
        <v>27</v>
      </c>
      <c r="H6" s="3"/>
      <c r="I6" s="4"/>
    </row>
    <row r="7" spans="1:12" ht="15" customHeight="1" x14ac:dyDescent="0.35">
      <c r="A7" t="s">
        <v>19</v>
      </c>
      <c r="B7" s="2" t="s">
        <v>14</v>
      </c>
      <c r="C7" s="2">
        <v>2</v>
      </c>
      <c r="D7" s="5">
        <v>0.1</v>
      </c>
      <c r="E7" s="5">
        <f t="shared" si="0"/>
        <v>0.2</v>
      </c>
      <c r="F7" s="5" t="s">
        <v>33</v>
      </c>
      <c r="G7" s="1" t="s">
        <v>32</v>
      </c>
      <c r="H7" s="4"/>
    </row>
    <row r="8" spans="1:12" ht="15" customHeight="1" x14ac:dyDescent="0.35">
      <c r="A8" t="s">
        <v>20</v>
      </c>
      <c r="B8" s="2" t="s">
        <v>15</v>
      </c>
      <c r="C8" s="2">
        <v>2</v>
      </c>
      <c r="D8" s="5">
        <v>0.1</v>
      </c>
      <c r="E8" s="5">
        <f t="shared" si="0"/>
        <v>0.2</v>
      </c>
      <c r="F8" s="5" t="s">
        <v>35</v>
      </c>
      <c r="G8" s="1" t="s">
        <v>34</v>
      </c>
    </row>
    <row r="9" spans="1:12" ht="15" customHeight="1" x14ac:dyDescent="0.35">
      <c r="A9" s="2" t="s">
        <v>21</v>
      </c>
      <c r="B9" s="2" t="s">
        <v>36</v>
      </c>
      <c r="C9" s="2">
        <v>2</v>
      </c>
      <c r="D9" s="5">
        <v>0.28000000000000003</v>
      </c>
      <c r="E9" s="5">
        <f t="shared" si="0"/>
        <v>0.56000000000000005</v>
      </c>
      <c r="F9" s="5" t="s">
        <v>49</v>
      </c>
      <c r="G9" s="1" t="s">
        <v>37</v>
      </c>
      <c r="H9" s="1" t="s">
        <v>48</v>
      </c>
      <c r="I9" s="3"/>
      <c r="J9" s="3"/>
      <c r="K9" s="4"/>
      <c r="L9" s="4"/>
    </row>
    <row r="10" spans="1:12" ht="15" customHeight="1" x14ac:dyDescent="0.35">
      <c r="A10" s="2" t="s">
        <v>22</v>
      </c>
      <c r="B10" s="2" t="s">
        <v>24</v>
      </c>
      <c r="C10" s="2">
        <v>2</v>
      </c>
      <c r="D10" s="5">
        <v>2.0699999999999998</v>
      </c>
      <c r="E10" s="5">
        <f t="shared" si="0"/>
        <v>4.1399999999999997</v>
      </c>
      <c r="F10" s="5" t="s">
        <v>40</v>
      </c>
      <c r="G10" s="1" t="s">
        <v>38</v>
      </c>
      <c r="H10" s="4"/>
    </row>
    <row r="11" spans="1:12" ht="15" customHeight="1" x14ac:dyDescent="0.35">
      <c r="A11" s="2" t="s">
        <v>23</v>
      </c>
      <c r="B11" s="2" t="s">
        <v>26</v>
      </c>
      <c r="C11" s="2">
        <v>2</v>
      </c>
      <c r="D11" s="5">
        <v>1.93</v>
      </c>
      <c r="E11" s="5">
        <f t="shared" si="0"/>
        <v>3.86</v>
      </c>
      <c r="F11" s="5" t="s">
        <v>40</v>
      </c>
      <c r="G11" s="1" t="s">
        <v>39</v>
      </c>
      <c r="H11" s="4"/>
    </row>
    <row r="12" spans="1:12" ht="15" customHeight="1" x14ac:dyDescent="0.35">
      <c r="A12" s="2"/>
      <c r="B12" s="2"/>
      <c r="C12" s="2"/>
      <c r="D12" s="6" t="s">
        <v>10</v>
      </c>
      <c r="E12" s="5">
        <f>SUM(E2:E11)</f>
        <v>43.52000000000001</v>
      </c>
      <c r="F12" s="5"/>
      <c r="G12" s="3"/>
      <c r="H12" s="4"/>
    </row>
    <row r="13" spans="1:12" ht="15" customHeight="1" x14ac:dyDescent="0.35">
      <c r="A13" s="2"/>
      <c r="B13" s="2"/>
      <c r="C13" s="2"/>
      <c r="D13" s="5"/>
      <c r="E13" s="5"/>
      <c r="F13" s="5"/>
      <c r="G13" s="3"/>
      <c r="H13" s="4"/>
    </row>
    <row r="14" spans="1:12" ht="15" customHeight="1" x14ac:dyDescent="0.35">
      <c r="A14" s="2"/>
      <c r="B14" s="2"/>
      <c r="C14" s="2"/>
      <c r="D14" s="2"/>
      <c r="E14" s="5"/>
      <c r="F14" s="5"/>
      <c r="G14" s="3"/>
    </row>
    <row r="15" spans="1:12" x14ac:dyDescent="0.35">
      <c r="A15" s="2"/>
      <c r="B15" s="2"/>
      <c r="C15" s="2"/>
      <c r="D15" s="2"/>
      <c r="E15" s="2"/>
      <c r="F15" s="2"/>
      <c r="G15" s="3"/>
    </row>
    <row r="16" spans="1:12" x14ac:dyDescent="0.35">
      <c r="A16" s="2"/>
      <c r="B16" s="2"/>
      <c r="C16" s="2"/>
      <c r="D16" s="2"/>
      <c r="E16" s="2"/>
      <c r="F16" s="2"/>
      <c r="G16" s="3"/>
    </row>
    <row r="17" spans="1:7" x14ac:dyDescent="0.35">
      <c r="A17" s="2"/>
      <c r="C17" s="2"/>
      <c r="D17" s="2"/>
      <c r="E17" s="2"/>
      <c r="F17" s="2"/>
      <c r="G17" s="1"/>
    </row>
  </sheetData>
  <phoneticPr fontId="3" type="noConversion"/>
  <hyperlinks>
    <hyperlink ref="G6" r:id="rId1" display="https://www.digikey.com/en/products/detail/amphenol-cs-fci/D25S33E4PA00LF/1538080" xr:uid="{CF6559F6-DE29-468F-A8AE-1C573B84539B}"/>
    <hyperlink ref="G3" r:id="rId2" display="https://www.digikey.com/en/products/detail/arduino/ABX00033/10239972" xr:uid="{E51E5803-9FE0-4C14-AADE-368708EA871F}"/>
    <hyperlink ref="G7" r:id="rId3" display="https://www.digikey.com/en/products/detail/yageo/RC1206FR-071KL/728387" xr:uid="{A702FC16-8F83-4E3A-A93F-D9408DD2F39D}"/>
    <hyperlink ref="G8" r:id="rId4" display="https://www.digikey.com/en/products/detail/stackpole-electronics-inc/RMCF1206FT10K0/1759669" xr:uid="{0F8979C0-6DB2-4B44-9FCD-3042501D593A}"/>
    <hyperlink ref="G9" r:id="rId5" display="https://www.digikey.com/en/products/detail/onsemi/BC550CTA/974185" xr:uid="{1C677837-D3CB-4A91-8EDE-D2113FFCBD6D}"/>
    <hyperlink ref="G10" r:id="rId6" display="https://www.digikey.com/en/products/detail/infineon-technologies/IRF9540NPBF/812088" xr:uid="{729729D4-7B63-4C31-8298-AC9D511D3EF4}"/>
    <hyperlink ref="G11" r:id="rId7" display="https://www.digikey.com/en/products/detail/infineon-technologies/IRF540NPBF/811869" xr:uid="{2182B84E-2B06-4184-BD5D-E5391AA05B84}"/>
    <hyperlink ref="G2" r:id="rId8" display="https://www.digikey.com/en/products/detail/same-sky-formerly-cui-devices/PJ-002A/96962" xr:uid="{568D8FFB-A50B-4C55-ADF3-BEF9ED909CF8}"/>
    <hyperlink ref="G5" r:id="rId9" display="https://www.digikey.com/en/products/detail/phoenix-contact/1757064/260384" xr:uid="{2033BA66-A94C-4F37-8897-CE20B23FC91F}"/>
    <hyperlink ref="G4" r:id="rId10" display="https://www.digikey.com/en/products/detail/phoenix-contact/1757297/260479" xr:uid="{9CCD2936-CC49-4825-A93A-6F99555D80E1}"/>
    <hyperlink ref="H9" r:id="rId11" display="https://www.digikey.com/en/products/detail/onsemi/BC547BTF/976371" xr:uid="{D92774B8-B9A8-4AC5-B1A3-EB1FA0C520CD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Morris, Sydney</cp:lastModifiedBy>
  <cp:lastPrinted>2025-05-01T19:35:57Z</cp:lastPrinted>
  <dcterms:created xsi:type="dcterms:W3CDTF">2025-03-06T14:44:50Z</dcterms:created>
  <dcterms:modified xsi:type="dcterms:W3CDTF">2026-05-04T21:44:16Z</dcterms:modified>
</cp:coreProperties>
</file>