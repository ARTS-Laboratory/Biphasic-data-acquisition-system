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Biphasic-data-acquisition-system\DAQ_design\Assisi\v0.2.1\"/>
    </mc:Choice>
  </mc:AlternateContent>
  <xr:revisionPtr revIDLastSave="0" documentId="13_ncr:1_{126B79C8-DB73-48F3-8741-6E99073918AF}" xr6:coauthVersionLast="47" xr6:coauthVersionMax="47" xr10:uidLastSave="{00000000-0000-0000-0000-000000000000}"/>
  <bookViews>
    <workbookView xWindow="-16320" yWindow="-6540" windowWidth="16440" windowHeight="283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4" i="1"/>
  <c r="G35" i="1"/>
  <c r="G36" i="1"/>
  <c r="G37" i="1"/>
  <c r="G38" i="1"/>
  <c r="G19" i="1"/>
  <c r="G31" i="1"/>
  <c r="G28" i="1"/>
  <c r="G30" i="1"/>
  <c r="G29" i="1"/>
  <c r="G27" i="1"/>
  <c r="F16" i="1"/>
  <c r="G16" i="1" s="1"/>
  <c r="F13" i="1"/>
  <c r="G13" i="1" s="1"/>
  <c r="F14" i="1"/>
  <c r="G14" i="1" s="1"/>
  <c r="F15" i="1"/>
  <c r="G15" i="1" s="1"/>
  <c r="G17" i="1"/>
  <c r="G18" i="1"/>
  <c r="G20" i="1"/>
  <c r="G21" i="1"/>
  <c r="G22" i="1"/>
  <c r="G24" i="1"/>
  <c r="G25" i="1"/>
  <c r="G26" i="1"/>
  <c r="G23" i="1"/>
  <c r="G6" i="1"/>
  <c r="G4" i="1"/>
  <c r="G3" i="1"/>
  <c r="G5" i="1"/>
  <c r="G7" i="1"/>
  <c r="G8" i="1"/>
  <c r="G9" i="1"/>
  <c r="G10" i="1"/>
  <c r="G11" i="1"/>
  <c r="G12" i="1"/>
  <c r="G2" i="1"/>
  <c r="G43" i="1" l="1"/>
</calcChain>
</file>

<file path=xl/sharedStrings.xml><?xml version="1.0" encoding="utf-8"?>
<sst xmlns="http://schemas.openxmlformats.org/spreadsheetml/2006/main" count="157" uniqueCount="148">
  <si>
    <t>Total Cost</t>
  </si>
  <si>
    <t>Designator</t>
  </si>
  <si>
    <t>Component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</si>
  <si>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</si>
  <si>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</si>
  <si>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</si>
  <si>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</si>
  <si>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</si>
  <si>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</si>
  <si>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</si>
  <si>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</si>
  <si>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</si>
  <si>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DSUB-25 Female Connector</t>
  </si>
  <si>
    <t>1k Ohm Resistor</t>
  </si>
  <si>
    <t>10k Ohm Resistor</t>
  </si>
  <si>
    <t>Arduino1</t>
  </si>
  <si>
    <t>BiPhasic_out1</t>
  </si>
  <si>
    <t>R2, R4</t>
  </si>
  <si>
    <t>R3, R6</t>
  </si>
  <si>
    <t>Q1, Q4</t>
  </si>
  <si>
    <t>Q2, Q6</t>
  </si>
  <si>
    <t>Q3, Q5</t>
  </si>
  <si>
    <t>J2 DSUB</t>
  </si>
  <si>
    <t>IRF540N HEXFET power MOSFET</t>
  </si>
  <si>
    <t>Connect to NI 9221</t>
  </si>
  <si>
    <t>RC1206FR-071KL YAGEO | Chip Resistor - Surface Mount | DigiKey</t>
  </si>
  <si>
    <t>Or use resistor book: https://www.adafruit.com/product/441</t>
  </si>
  <si>
    <t>RMCF1206FT10K0 Stackpole Electronics Inc | Chip Resistor - Surface Mount | DigiKey</t>
  </si>
  <si>
    <t>Or use resistor book: https://www.adafruit.com/product/442</t>
  </si>
  <si>
    <t>BC550CTA onsemi | Single Bipolar Transistors | DigiKey</t>
  </si>
  <si>
    <t>IRF9540NPBF Infineon Technologies | Single FETs, MOSFETs | DigiKey</t>
  </si>
  <si>
    <t>IRF540NPBF Infineon Technologies | Single FETs, MOSFETs | DigiKey</t>
  </si>
  <si>
    <t>Amount Per Board</t>
  </si>
  <si>
    <t>PJ-002A Same Sky (Formerly CUI Devices) | Power Connectors | DigiKey</t>
  </si>
  <si>
    <t>Amount in Inventory</t>
  </si>
  <si>
    <t>Screw Terminal Female</t>
  </si>
  <si>
    <t>Screw Terminal Male</t>
  </si>
  <si>
    <t>Allow for secure yet detachable wiring</t>
  </si>
  <si>
    <t>1757064 Phoenix Contact | Headers, Plugs and Sockets | DigiKey</t>
  </si>
  <si>
    <t>1757297 Phoenix Contact | Headers, Plugs and Sockets | DigiKey</t>
  </si>
  <si>
    <t>Arduino Nano Microcontroller</t>
  </si>
  <si>
    <t>https://www.digikey.com/en/products/detail/dfrobot/DFR0010/6588448</t>
  </si>
  <si>
    <t>M4 Hex Nut</t>
  </si>
  <si>
    <t>H1, H2, H3</t>
  </si>
  <si>
    <t>Need both for complementary pair. P-channel (when gate is lower than source, pulls V up)</t>
  </si>
  <si>
    <t>Need both for complementary pair. N-channel (when gate is higher than source, pulls V down)</t>
  </si>
  <si>
    <t>Can be swapped with a nano every for a higher ram option</t>
  </si>
  <si>
    <t>DSUB Screw</t>
  </si>
  <si>
    <t>5746879-1 TE Connectivity AMP Connectors | D-Sub, D-Shaped Connector Jackscrews | DigiKey</t>
  </si>
  <si>
    <t>Convenient and plugs into wall</t>
  </si>
  <si>
    <t>Solder to microcontroller footprint to make detachable</t>
  </si>
  <si>
    <t>1-215297-5 TE Connectivity AMP Connectors | Headers, Receptacles, Female Sockets | DigiKey</t>
  </si>
  <si>
    <t>https://www.digikey.com/en/products/detail/amphenol-cs-fci/D25S33E4GX00LF/1001825</t>
  </si>
  <si>
    <t>D25S33E4GX00LF</t>
  </si>
  <si>
    <t>CTA is higher-gain, low-noise</t>
  </si>
  <si>
    <t>15 Pos Female Header Pins</t>
  </si>
  <si>
    <t>Barrel Jack</t>
  </si>
  <si>
    <t>MFR Part Number</t>
  </si>
  <si>
    <t>PJ-002A</t>
  </si>
  <si>
    <t>RC1206FR-071KL</t>
  </si>
  <si>
    <t>5746879-1</t>
  </si>
  <si>
    <t>RMCF1206FT10K0</t>
  </si>
  <si>
    <t>BC550CTA</t>
  </si>
  <si>
    <t>Epitaxial Silicon Transistor</t>
  </si>
  <si>
    <t>IRF9540NPBF</t>
  </si>
  <si>
    <t>HEXFET power MOSFET</t>
  </si>
  <si>
    <t>M4 x 40 mm Socket Head Cap Screw</t>
  </si>
  <si>
    <t>https://www.grainger.com/product/Socket-Head-Cap-Screw-M4x0-6DB37</t>
  </si>
  <si>
    <t>6DB37</t>
  </si>
  <si>
    <t>Package quantity 50</t>
  </si>
  <si>
    <t>Power Supply 12V</t>
  </si>
  <si>
    <t>https://www.digikey.com/en/products/detail/phoenix-contact/1776113/2511240</t>
  </si>
  <si>
    <t>Screw Terminal Female with strain relief</t>
  </si>
  <si>
    <t>Allow for secure yet detachable wiring (with strain relief)</t>
  </si>
  <si>
    <t>hook up wire</t>
  </si>
  <si>
    <t>76502.18.01</t>
  </si>
  <si>
    <t xml:space="preserve">500' of 18 AWG 16/30 hook-up wire, black, will be color-coded with crimp terminals. </t>
  </si>
  <si>
    <t>Ferrule - gray</t>
  </si>
  <si>
    <t>Ferrule - yellow</t>
  </si>
  <si>
    <t>Ferrule - white</t>
  </si>
  <si>
    <t>Ferrule - red</t>
  </si>
  <si>
    <t>https://www.digikey.com/en/products/detail/phoenix-contact/3201097/2424724</t>
  </si>
  <si>
    <t>https://www.digikey.com/en/products/detail/phoenix-contact/3200030/349907</t>
  </si>
  <si>
    <t>https://www.digikey.com/en/products/detail/phoenix-contact/3201110/2424723</t>
  </si>
  <si>
    <t>https://www.digikey.com/en/products/detail/phoenix-contact/3200519/349935</t>
  </si>
  <si>
    <t>Color coded Ferrule to go with the black wire</t>
  </si>
  <si>
    <t>https://www.digikey.com/en/products/detail/mean-well-usa-inc/GST60A09-P1J/7703711</t>
  </si>
  <si>
    <t>https://www.grainger.com/product/Hex-Nut-Std-Hex-22UK82</t>
  </si>
  <si>
    <t>M4 x 16 mm Socket Head Cap Screw</t>
  </si>
  <si>
    <t>https://www.grainger.com/product/Socket-Head-Cap-Screw-M4x0-22UC47</t>
  </si>
  <si>
    <t>22UC47</t>
  </si>
  <si>
    <t>wire to mesh connector</t>
  </si>
  <si>
    <t>Barrier Terminal Strip</t>
  </si>
  <si>
    <t>6YH99</t>
  </si>
  <si>
    <t>https://www.grainger.com/product/Barrier-Terminal-Strip-12-6YH99</t>
  </si>
  <si>
    <t>https://www.grainger.com/product/Flat-Washer-18-8-26WC32</t>
  </si>
  <si>
    <t>Cut apart and use to connect to wire mesh in concrete</t>
  </si>
  <si>
    <t>VPP</t>
  </si>
  <si>
    <t>M4 Flat Washer</t>
  </si>
  <si>
    <t>M51420.040.0001</t>
  </si>
  <si>
    <t>Package quantity 50. secures box lid to bottom</t>
  </si>
  <si>
    <t>Package quantity 50. secures PCB to box bottom</t>
  </si>
  <si>
    <t>M51080.040.0001</t>
  </si>
  <si>
    <t>Power Supply 9V</t>
  </si>
  <si>
    <t>cDAQ NI 9221 with DSUB</t>
  </si>
  <si>
    <t>NI 9221 779373-01</t>
  </si>
  <si>
    <t>cDAQ Chassis NI 9171</t>
  </si>
  <si>
    <t>NI-9221 - NI</t>
  </si>
  <si>
    <t>NI 9171 781425-01</t>
  </si>
  <si>
    <t>https://www.digikey.com/en/products/detail/encore-wire/76502-18-01/2758161</t>
  </si>
  <si>
    <t>https://www.grainger.com/product/Barrier-Terminal-Strip-12-6YJ02</t>
  </si>
  <si>
    <t>6YJ02</t>
  </si>
  <si>
    <t>Cut apart and use to connect to wire mesh in concrete (slightly larger, may allow to double tap)</t>
  </si>
  <si>
    <t>CPF1100K00BHB14</t>
  </si>
  <si>
    <t>Precision Resistor for the voltage divider</t>
  </si>
  <si>
    <t>https://www.digikey.com/en/products/detail/vishay-dale/CPF1100K00BHB14/25879607</t>
  </si>
  <si>
    <t>GST60A09-P1J</t>
  </si>
  <si>
    <t>GST60A12-P1J</t>
  </si>
  <si>
    <t>Power Supply 7V</t>
  </si>
  <si>
    <t>GST60A07-P1J</t>
  </si>
  <si>
    <t>https://www.digikey.com/en/products/detail/mean-well-usa-inc/GST60A07-P1J/7703710</t>
  </si>
  <si>
    <t>https://www.digikey.com/en/products/detail/mean-well-usa-inc/GST60A12-P1J/7703712</t>
  </si>
  <si>
    <t>Convenient and plugs into wall Likely will not use in the future.</t>
  </si>
  <si>
    <t xml:space="preserve">5 position receptical for 4 probe measurment </t>
  </si>
  <si>
    <t>CPF-1 100K .1% T-2 B14</t>
  </si>
  <si>
    <t>https://www.digikey.com/en/products/detail/phoenix-contact/1757271/260477</t>
  </si>
  <si>
    <t>https://www.digikey.com/en/products/detail/phoenix-contact/1754504/260371</t>
  </si>
  <si>
    <t>https://www.digikey.com/en/products/detail/phoenix-contact/1757255/260475</t>
  </si>
  <si>
    <t>https://www.digikey.com/en/products/detail/phoenix-contact/1757022/260380</t>
  </si>
  <si>
    <t>https://www.digikey.com/en/products/detail/phoenix-contact/1786459/2526585</t>
  </si>
  <si>
    <t>TERM BLOCK HDR 7POS 5.08MM</t>
  </si>
  <si>
    <t>TERM BLOCK PLUG 5POS 5MM</t>
  </si>
  <si>
    <t>TERM BLOCK PLUG 3POS 5.08MM</t>
  </si>
  <si>
    <t>TERM BLOCK HDR 3POS 5.08MM</t>
  </si>
  <si>
    <t>TERM BLOCK HDR 5POS 5.08MM</t>
  </si>
  <si>
    <t>Component
7-position connector to main board</t>
  </si>
  <si>
    <t>5-position plug for 4-probe measurement</t>
  </si>
  <si>
    <t>3-position receptacle for 2-probe measurement</t>
  </si>
  <si>
    <t>3-position plug for 2-probe measurement</t>
  </si>
  <si>
    <t xml:space="preserve">100k precision resistor for porbe board </t>
  </si>
  <si>
    <t>https://www.digikey.com/en/products/detail/vishay-dale/CPF1150K00FEB14/25993968</t>
  </si>
  <si>
    <t>https://www.digikey.com/en/products/detail/vishay-dale/CPF133K000FKE14/25835402</t>
  </si>
  <si>
    <t xml:space="preserve">150k precision resistor for porbe board </t>
  </si>
  <si>
    <t xml:space="preserve">33k precision resistor for porbe board </t>
  </si>
  <si>
    <t>CPF1150K00FEB14</t>
  </si>
  <si>
    <t>33 kOhms ±1% 1W Through Hole Resistor Axial Flame Proof, Moisture Resistant, Safety Metal Film</t>
  </si>
  <si>
    <t>CPF133K000FKE14</t>
  </si>
  <si>
    <t>150 kOhms ±1% 1W Through Hole Resistor Axial Flame Proof, Moisture Resistant, Safety Metal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</si>
</sst>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7" fontId="4" fillId="0" borderId="0" xfId="0" applyNumberFormat="1" applyFont="1" applyAlignment="1">
      <alignment vertical="center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rainger.com/product/Socket-Head-Cap-Screw-M4x0-6DB37" TargetMode="External"/><Relationship Id="rId18" Type="http://schemas.openxmlformats.org/officeDocument/2006/relationships/hyperlink" Target="https://www.digikey.com/en/products/detail/phoenix-contact/3200519/349935" TargetMode="External"/><Relationship Id="rId26" Type="http://schemas.openxmlformats.org/officeDocument/2006/relationships/hyperlink" Target="https://www.digikey.com/en/products/detail/vishay-dale/CPF1100K00BHB14/25879607" TargetMode="External"/><Relationship Id="rId3" Type="http://schemas.openxmlformats.org/officeDocument/2006/relationships/hyperlink" Target="https://www.digikey.com/en/products/detail/stackpole-electronics-inc/RMCF1206FT10K0/1759669" TargetMode="External"/><Relationship Id="rId21" Type="http://schemas.openxmlformats.org/officeDocument/2006/relationships/hyperlink" Target="https://www.grainger.com/product/Socket-Head-Cap-Screw-M4x0-22UC47" TargetMode="External"/><Relationship Id="rId34" Type="http://schemas.openxmlformats.org/officeDocument/2006/relationships/hyperlink" Target="https://www.digikey.com/en/products/detail/vishay-dale/CPF133K000FKE14/25835402" TargetMode="External"/><Relationship Id="rId7" Type="http://schemas.openxmlformats.org/officeDocument/2006/relationships/hyperlink" Target="https://www.digikey.com/en/products/detail/same-sky-formerly-cui-devices/PJ-002A/96962" TargetMode="External"/><Relationship Id="rId12" Type="http://schemas.openxmlformats.org/officeDocument/2006/relationships/hyperlink" Target="https://www.digikey.com/en/products/detail/amphenol-cs-fci/D25S33E4GX00LF/1001825" TargetMode="External"/><Relationship Id="rId17" Type="http://schemas.openxmlformats.org/officeDocument/2006/relationships/hyperlink" Target="https://www.digikey.com/en/products/detail/phoenix-contact/3201110/2424723" TargetMode="External"/><Relationship Id="rId25" Type="http://schemas.openxmlformats.org/officeDocument/2006/relationships/hyperlink" Target="https://www.grainger.com/product/Barrier-Terminal-Strip-12-6YJ02" TargetMode="External"/><Relationship Id="rId33" Type="http://schemas.openxmlformats.org/officeDocument/2006/relationships/hyperlink" Target="https://www.digikey.com/en/products/detail/vishay-dale/CPF1150K00FEB14/25993968" TargetMode="External"/><Relationship Id="rId2" Type="http://schemas.openxmlformats.org/officeDocument/2006/relationships/hyperlink" Target="https://www.digikey.com/en/products/detail/yageo/RC1206FR-071KL/728387" TargetMode="External"/><Relationship Id="rId16" Type="http://schemas.openxmlformats.org/officeDocument/2006/relationships/hyperlink" Target="https://www.digikey.com/en/products/detail/phoenix-contact/3200030/349907" TargetMode="External"/><Relationship Id="rId20" Type="http://schemas.openxmlformats.org/officeDocument/2006/relationships/hyperlink" Target="https://www.grainger.com/product/Hex-Nut-Std-Hex-22UK82" TargetMode="External"/><Relationship Id="rId29" Type="http://schemas.openxmlformats.org/officeDocument/2006/relationships/hyperlink" Target="https://www.digikey.com/en/products/detail/phoenix-contact/1754504/260371" TargetMode="External"/><Relationship Id="rId1" Type="http://schemas.openxmlformats.org/officeDocument/2006/relationships/hyperlink" Target="https://www.digikey.com/en/products/detail/dfrobot/DFR0010/6588448" TargetMode="External"/><Relationship Id="rId6" Type="http://schemas.openxmlformats.org/officeDocument/2006/relationships/hyperlink" Target="https://www.digikey.com/en/products/detail/infineon-technologies/IRF540NPBF/811869" TargetMode="External"/><Relationship Id="rId11" Type="http://schemas.openxmlformats.org/officeDocument/2006/relationships/hyperlink" Target="https://www.digikey.com/en/products/detail/te-connectivity-amp-connectors/1-215297-5/5589672?s=N4IgjCBcoEwBxVAYygMwIYBsDOBTANCAPZQDaIAzAJwxUBsADCALqEAOALlCAMocBOASwB2AcxABfQnATQQKSBhwFiZEFQDsAVjAUW7LpF4CR4qSB0xE8tFjyESkchQAsdLe-0hO3PkLGShAC0VnIKAgCuKo7kWiwS5qHkABa46AAmuPwABGwi2PFAA" TargetMode="External"/><Relationship Id="rId24" Type="http://schemas.openxmlformats.org/officeDocument/2006/relationships/hyperlink" Target="https://www.ni.com/en/shop/hardware/voltage/model-ni-9221" TargetMode="External"/><Relationship Id="rId32" Type="http://schemas.openxmlformats.org/officeDocument/2006/relationships/hyperlink" Target="https://www.digikey.com/en/products/detail/phoenix-contact/1786459/2526585" TargetMode="External"/><Relationship Id="rId5" Type="http://schemas.openxmlformats.org/officeDocument/2006/relationships/hyperlink" Target="https://www.digikey.com/en/products/detail/infineon-technologies/IRF9540NPBF/812088" TargetMode="External"/><Relationship Id="rId15" Type="http://schemas.openxmlformats.org/officeDocument/2006/relationships/hyperlink" Target="https://www.digikey.com/en/products/detail/phoenix-contact/3201097/2424724" TargetMode="External"/><Relationship Id="rId23" Type="http://schemas.openxmlformats.org/officeDocument/2006/relationships/hyperlink" Target="https://www.grainger.com/product/Flat-Washer-18-8-26WC32" TargetMode="External"/><Relationship Id="rId28" Type="http://schemas.openxmlformats.org/officeDocument/2006/relationships/hyperlink" Target="https://www.digikey.com/en/products/detail/phoenix-contact/1757271/260477" TargetMode="External"/><Relationship Id="rId10" Type="http://schemas.openxmlformats.org/officeDocument/2006/relationships/hyperlink" Target="https://www.digikey.com/en/products/detail/te-connectivity-amp-connectors/5746879-1/2259521?so=99129841&amp;content=productdetail_row&amp;mkt_tok=MDI4LVNYSy01MDcAAAGhrFahbx9pi1nb6U1_s4a7w7WS1p3X3INFI0ss_GDSarh_0yxAQI_ou7h33vsiRGqzkAi1tRJ_RMrPOqZNoaK887jiuNeK_w3vjsVex_a8hJ4" TargetMode="External"/><Relationship Id="rId19" Type="http://schemas.openxmlformats.org/officeDocument/2006/relationships/hyperlink" Target="https://www.digikey.com/en/products/detail/mean-well-usa-inc/GST60A09-P1J/7703711" TargetMode="External"/><Relationship Id="rId31" Type="http://schemas.openxmlformats.org/officeDocument/2006/relationships/hyperlink" Target="https://www.digikey.com/en/products/detail/phoenix-contact/1757022/260380" TargetMode="External"/><Relationship Id="rId4" Type="http://schemas.openxmlformats.org/officeDocument/2006/relationships/hyperlink" Target="https://www.digikey.com/en/products/detail/onsemi/BC550CTA/974185" TargetMode="External"/><Relationship Id="rId9" Type="http://schemas.openxmlformats.org/officeDocument/2006/relationships/hyperlink" Target="https://www.digikey.com/en/products/detail/phoenix-contact/1757297/260479" TargetMode="External"/><Relationship Id="rId14" Type="http://schemas.openxmlformats.org/officeDocument/2006/relationships/hyperlink" Target="https://www.digikey.com/en/products/detail/phoenix-contact/1776113/2511240" TargetMode="External"/><Relationship Id="rId22" Type="http://schemas.openxmlformats.org/officeDocument/2006/relationships/hyperlink" Target="https://www.grainger.com/product/Barrier-Terminal-Strip-12-6YH99" TargetMode="External"/><Relationship Id="rId27" Type="http://schemas.openxmlformats.org/officeDocument/2006/relationships/hyperlink" Target="https://www.digikey.com/en/products/detail/mean-well-usa-inc/GST60A07-P1J/7703710" TargetMode="External"/><Relationship Id="rId30" Type="http://schemas.openxmlformats.org/officeDocument/2006/relationships/hyperlink" Target="https://www.digikey.com/en/products/detail/phoenix-contact/1757255/260475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phoenix-contact/1757064/260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43"/>
  <sheetViews>
    <sheetView tabSelected="1" topLeftCell="E1" zoomScale="115" zoomScaleNormal="115" workbookViewId="0">
      <selection activeCell="H37" sqref="H37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8" bestFit="1" customWidth="1"/>
    <col min="5" max="5" width="15.85546875" bestFit="1" customWidth="1"/>
    <col min="6" max="6" width="13.5703125" bestFit="1" customWidth="1"/>
    <col min="7" max="7" width="12.85546875" customWidth="1"/>
    <col min="8" max="8" width="147.42578125" bestFit="1" customWidth="1"/>
    <col min="9" max="9" width="79" bestFit="1" customWidth="1"/>
    <col min="10" max="10" width="45.5703125" bestFit="1" customWidth="1"/>
    <col min="11" max="11" width="83.5703125" customWidth="1"/>
    <col min="12" max="12" width="62.5703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</v>
      </c>
      <c r="B1" s="6" t="s">
        <v>2</v>
      </c>
      <c r="C1" s="6" t="s">
        <v>57</v>
      </c>
      <c r="D1" s="6" t="s">
        <v>34</v>
      </c>
      <c r="E1" s="6" t="s">
        <v>32</v>
      </c>
      <c r="F1" s="6" t="s">
        <v>3</v>
      </c>
      <c r="G1" s="6" t="s">
        <v>0</v>
      </c>
      <c r="H1" s="6" t="s">
        <v>11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</row>
    <row r="2" spans="1:14" ht="15" customHeight="1" x14ac:dyDescent="0.25">
      <c r="A2" t="s">
        <v>97</v>
      </c>
      <c r="B2" s="2" t="s">
        <v>56</v>
      </c>
      <c r="C2" s="2" t="s">
        <v>58</v>
      </c>
      <c r="D2" s="2">
        <v>6</v>
      </c>
      <c r="E2" s="2">
        <v>1</v>
      </c>
      <c r="F2" s="5">
        <v>0.57999999999999996</v>
      </c>
      <c r="G2" s="5">
        <f>F2*E2</f>
        <v>0.57999999999999996</v>
      </c>
      <c r="H2" s="5"/>
      <c r="I2" s="1" t="s">
        <v>33</v>
      </c>
      <c r="J2" s="4"/>
      <c r="K2" s="2"/>
    </row>
    <row r="3" spans="1:14" ht="15" customHeight="1" x14ac:dyDescent="0.25">
      <c r="A3" t="s">
        <v>15</v>
      </c>
      <c r="B3" s="2" t="s">
        <v>40</v>
      </c>
      <c r="C3" s="2"/>
      <c r="D3" s="2">
        <v>0</v>
      </c>
      <c r="E3" s="2">
        <v>1</v>
      </c>
      <c r="F3" s="5">
        <v>5.9</v>
      </c>
      <c r="G3" s="5">
        <f t="shared" ref="G3:G28" si="0">F3*E3</f>
        <v>5.9</v>
      </c>
      <c r="H3" s="5" t="s">
        <v>46</v>
      </c>
      <c r="I3" s="1" t="s">
        <v>41</v>
      </c>
    </row>
    <row r="4" spans="1:14" ht="15" customHeight="1" x14ac:dyDescent="0.25">
      <c r="A4" t="s">
        <v>16</v>
      </c>
      <c r="B4" s="2" t="s">
        <v>36</v>
      </c>
      <c r="C4" s="2">
        <v>1757064</v>
      </c>
      <c r="D4" s="2">
        <v>2</v>
      </c>
      <c r="E4" s="2">
        <v>1</v>
      </c>
      <c r="F4" s="5">
        <v>4.72</v>
      </c>
      <c r="G4" s="5">
        <f t="shared" si="0"/>
        <v>4.72</v>
      </c>
      <c r="H4" s="5" t="s">
        <v>37</v>
      </c>
      <c r="I4" s="1" t="s">
        <v>39</v>
      </c>
    </row>
    <row r="5" spans="1:14" ht="15" customHeight="1" x14ac:dyDescent="0.25">
      <c r="A5" t="s">
        <v>16</v>
      </c>
      <c r="B5" s="2" t="s">
        <v>35</v>
      </c>
      <c r="C5" s="2">
        <v>1757297</v>
      </c>
      <c r="D5" s="2">
        <v>7</v>
      </c>
      <c r="E5" s="2">
        <v>1</v>
      </c>
      <c r="F5" s="5">
        <v>12.55</v>
      </c>
      <c r="G5" s="5">
        <f t="shared" si="0"/>
        <v>12.55</v>
      </c>
      <c r="H5" s="5" t="s">
        <v>37</v>
      </c>
      <c r="I5" s="1" t="s">
        <v>38</v>
      </c>
      <c r="J5" s="4"/>
      <c r="K5" s="4"/>
    </row>
    <row r="6" spans="1:14" ht="15" customHeight="1" x14ac:dyDescent="0.25">
      <c r="A6" t="s">
        <v>16</v>
      </c>
      <c r="B6" s="2" t="s">
        <v>72</v>
      </c>
      <c r="C6" s="4">
        <v>1776113</v>
      </c>
      <c r="D6" s="2">
        <v>2</v>
      </c>
      <c r="E6" s="2">
        <v>1</v>
      </c>
      <c r="F6" s="5">
        <v>9.5</v>
      </c>
      <c r="G6" s="5">
        <f t="shared" si="0"/>
        <v>9.5</v>
      </c>
      <c r="H6" s="5" t="s">
        <v>73</v>
      </c>
      <c r="I6" s="1" t="s">
        <v>71</v>
      </c>
      <c r="J6" s="4"/>
      <c r="K6" s="4"/>
    </row>
    <row r="7" spans="1:14" ht="15" customHeight="1" x14ac:dyDescent="0.25">
      <c r="A7" t="s">
        <v>22</v>
      </c>
      <c r="B7" s="2" t="s">
        <v>12</v>
      </c>
      <c r="C7" s="4" t="s">
        <v>53</v>
      </c>
      <c r="D7" s="2">
        <v>3</v>
      </c>
      <c r="E7" s="2">
        <v>1</v>
      </c>
      <c r="F7" s="5">
        <v>1.81</v>
      </c>
      <c r="G7" s="5">
        <f t="shared" si="0"/>
        <v>1.81</v>
      </c>
      <c r="H7" s="5" t="s">
        <v>24</v>
      </c>
      <c r="I7" s="1" t="s">
        <v>52</v>
      </c>
      <c r="J7" s="3"/>
      <c r="K7" s="4"/>
    </row>
    <row r="8" spans="1:14" ht="15" customHeight="1" x14ac:dyDescent="0.25">
      <c r="A8" t="s">
        <v>17</v>
      </c>
      <c r="B8" s="2" t="s">
        <v>13</v>
      </c>
      <c r="C8" s="2" t="s">
        <v>59</v>
      </c>
      <c r="D8" s="2">
        <v>42</v>
      </c>
      <c r="E8" s="2">
        <v>2</v>
      </c>
      <c r="F8" s="5">
        <v>0.1</v>
      </c>
      <c r="G8" s="5">
        <f t="shared" si="0"/>
        <v>0.2</v>
      </c>
      <c r="H8" s="5" t="s">
        <v>26</v>
      </c>
      <c r="I8" s="1" t="s">
        <v>25</v>
      </c>
      <c r="J8" s="4"/>
    </row>
    <row r="9" spans="1:14" ht="15" customHeight="1" x14ac:dyDescent="0.25">
      <c r="A9" t="s">
        <v>18</v>
      </c>
      <c r="B9" s="2" t="s">
        <v>14</v>
      </c>
      <c r="C9" s="2" t="s">
        <v>61</v>
      </c>
      <c r="D9" s="2">
        <v>42</v>
      </c>
      <c r="E9" s="2">
        <v>2</v>
      </c>
      <c r="F9" s="5">
        <v>0.1</v>
      </c>
      <c r="G9" s="5">
        <f t="shared" si="0"/>
        <v>0.2</v>
      </c>
      <c r="H9" s="5" t="s">
        <v>28</v>
      </c>
      <c r="I9" s="1" t="s">
        <v>27</v>
      </c>
    </row>
    <row r="10" spans="1:14" ht="15" customHeight="1" x14ac:dyDescent="0.25">
      <c r="A10" s="2" t="s">
        <v>19</v>
      </c>
      <c r="B10" s="2" t="s">
        <v>63</v>
      </c>
      <c r="C10" s="2" t="s">
        <v>62</v>
      </c>
      <c r="D10" s="2">
        <v>4</v>
      </c>
      <c r="E10" s="2">
        <v>2</v>
      </c>
      <c r="F10" s="5">
        <v>0.28000000000000003</v>
      </c>
      <c r="G10" s="5">
        <f t="shared" si="0"/>
        <v>0.56000000000000005</v>
      </c>
      <c r="H10" s="5" t="s">
        <v>54</v>
      </c>
      <c r="I10" s="1" t="s">
        <v>29</v>
      </c>
      <c r="J10" s="1"/>
      <c r="K10" s="3"/>
      <c r="L10" s="3"/>
      <c r="M10" s="4"/>
      <c r="N10" s="4"/>
    </row>
    <row r="11" spans="1:14" ht="15" customHeight="1" x14ac:dyDescent="0.25">
      <c r="A11" s="2" t="s">
        <v>20</v>
      </c>
      <c r="B11" s="2" t="s">
        <v>65</v>
      </c>
      <c r="C11" s="2" t="s">
        <v>64</v>
      </c>
      <c r="D11" s="2">
        <v>0</v>
      </c>
      <c r="E11" s="2">
        <v>2</v>
      </c>
      <c r="F11" s="5">
        <v>2.0699999999999998</v>
      </c>
      <c r="G11" s="5">
        <f t="shared" si="0"/>
        <v>4.1399999999999997</v>
      </c>
      <c r="H11" s="5" t="s">
        <v>44</v>
      </c>
      <c r="I11" s="1" t="s">
        <v>30</v>
      </c>
      <c r="J11" s="4"/>
    </row>
    <row r="12" spans="1:14" ht="15" customHeight="1" x14ac:dyDescent="0.25">
      <c r="A12" s="2" t="s">
        <v>21</v>
      </c>
      <c r="B12" s="2" t="s">
        <v>23</v>
      </c>
      <c r="C12" s="2"/>
      <c r="D12" s="2">
        <v>6</v>
      </c>
      <c r="E12" s="2">
        <v>2</v>
      </c>
      <c r="F12" s="5">
        <v>1.93</v>
      </c>
      <c r="G12" s="5">
        <f t="shared" si="0"/>
        <v>3.86</v>
      </c>
      <c r="H12" s="5" t="s">
        <v>45</v>
      </c>
      <c r="I12" s="1" t="s">
        <v>31</v>
      </c>
      <c r="J12" s="4"/>
    </row>
    <row r="13" spans="1:14" ht="15" customHeight="1" x14ac:dyDescent="0.25">
      <c r="A13" s="2" t="s">
        <v>43</v>
      </c>
      <c r="B13" s="2" t="s">
        <v>98</v>
      </c>
      <c r="C13" s="2" t="s">
        <v>99</v>
      </c>
      <c r="D13" s="2">
        <v>60</v>
      </c>
      <c r="E13" s="2">
        <v>9</v>
      </c>
      <c r="F13" s="5">
        <f>0.83/50</f>
        <v>1.66E-2</v>
      </c>
      <c r="G13" s="5">
        <f t="shared" si="0"/>
        <v>0.14940000000000001</v>
      </c>
      <c r="H13" s="5" t="s">
        <v>69</v>
      </c>
      <c r="I13" s="1" t="s">
        <v>95</v>
      </c>
      <c r="J13" s="4"/>
    </row>
    <row r="14" spans="1:14" ht="15" customHeight="1" x14ac:dyDescent="0.25">
      <c r="A14" s="2"/>
      <c r="B14" s="2" t="s">
        <v>66</v>
      </c>
      <c r="C14" s="2" t="s">
        <v>68</v>
      </c>
      <c r="D14" s="2">
        <v>32</v>
      </c>
      <c r="E14" s="2">
        <v>6</v>
      </c>
      <c r="F14" s="5">
        <f>10.31/50</f>
        <v>0.20620000000000002</v>
      </c>
      <c r="G14" s="5">
        <f t="shared" si="0"/>
        <v>1.2372000000000001</v>
      </c>
      <c r="H14" s="5" t="s">
        <v>100</v>
      </c>
      <c r="I14" s="1" t="s">
        <v>67</v>
      </c>
    </row>
    <row r="15" spans="1:14" ht="15" customHeight="1" x14ac:dyDescent="0.25">
      <c r="A15" s="2"/>
      <c r="B15" s="2" t="s">
        <v>88</v>
      </c>
      <c r="C15" s="2" t="s">
        <v>90</v>
      </c>
      <c r="D15" s="2">
        <v>41</v>
      </c>
      <c r="E15" s="2">
        <v>3</v>
      </c>
      <c r="F15" s="5">
        <f>5.9/50</f>
        <v>0.11800000000000001</v>
      </c>
      <c r="G15" s="5">
        <f t="shared" si="0"/>
        <v>0.35400000000000004</v>
      </c>
      <c r="H15" s="5" t="s">
        <v>101</v>
      </c>
      <c r="I15" s="1" t="s">
        <v>89</v>
      </c>
    </row>
    <row r="16" spans="1:14" ht="15" customHeight="1" x14ac:dyDescent="0.25">
      <c r="A16" s="2"/>
      <c r="B16" s="2" t="s">
        <v>42</v>
      </c>
      <c r="C16" s="2" t="s">
        <v>102</v>
      </c>
      <c r="D16" s="2">
        <v>60</v>
      </c>
      <c r="E16" s="2">
        <v>9</v>
      </c>
      <c r="F16" s="5">
        <f>0.77/50</f>
        <v>1.54E-2</v>
      </c>
      <c r="G16" s="5">
        <f t="shared" si="0"/>
        <v>0.1386</v>
      </c>
      <c r="H16" s="5" t="s">
        <v>69</v>
      </c>
      <c r="I16" s="1" t="s">
        <v>87</v>
      </c>
      <c r="J16" s="3"/>
    </row>
    <row r="17" spans="1:10" ht="15" customHeight="1" x14ac:dyDescent="0.25">
      <c r="A17" s="2"/>
      <c r="B17" s="2" t="s">
        <v>47</v>
      </c>
      <c r="C17" s="2" t="s">
        <v>60</v>
      </c>
      <c r="D17" s="2">
        <v>10</v>
      </c>
      <c r="E17" s="2">
        <v>2</v>
      </c>
      <c r="F17" s="5">
        <v>0.59</v>
      </c>
      <c r="G17" s="5">
        <f t="shared" si="0"/>
        <v>1.18</v>
      </c>
      <c r="H17" s="5"/>
      <c r="I17" s="1" t="s">
        <v>48</v>
      </c>
      <c r="J17" s="4"/>
    </row>
    <row r="18" spans="1:10" ht="15" customHeight="1" x14ac:dyDescent="0.25">
      <c r="A18" s="2"/>
      <c r="B18" s="2" t="s">
        <v>55</v>
      </c>
      <c r="C18" s="2"/>
      <c r="D18" s="2">
        <v>0</v>
      </c>
      <c r="E18" s="2">
        <v>2</v>
      </c>
      <c r="F18" s="5">
        <v>5.86</v>
      </c>
      <c r="G18" s="5">
        <f t="shared" si="0"/>
        <v>11.72</v>
      </c>
      <c r="H18" s="5" t="s">
        <v>50</v>
      </c>
      <c r="I18" s="1" t="s">
        <v>51</v>
      </c>
      <c r="J18" s="4"/>
    </row>
    <row r="19" spans="1:10" ht="15" customHeight="1" x14ac:dyDescent="0.25">
      <c r="A19" s="2"/>
      <c r="B19" s="2" t="s">
        <v>118</v>
      </c>
      <c r="C19" s="4" t="s">
        <v>119</v>
      </c>
      <c r="D19" s="2">
        <v>1</v>
      </c>
      <c r="E19" s="2">
        <v>1</v>
      </c>
      <c r="F19" s="5">
        <v>18.600000000000001</v>
      </c>
      <c r="G19" s="5">
        <f t="shared" ref="G19" si="1">F19*E19</f>
        <v>18.600000000000001</v>
      </c>
      <c r="H19" s="5" t="s">
        <v>49</v>
      </c>
      <c r="I19" s="1" t="s">
        <v>120</v>
      </c>
      <c r="J19" s="4"/>
    </row>
    <row r="20" spans="1:10" ht="15" customHeight="1" x14ac:dyDescent="0.25">
      <c r="A20" s="2"/>
      <c r="B20" s="2" t="s">
        <v>103</v>
      </c>
      <c r="C20" s="4" t="s">
        <v>116</v>
      </c>
      <c r="D20" s="2">
        <v>1</v>
      </c>
      <c r="E20" s="2">
        <v>1</v>
      </c>
      <c r="F20" s="5">
        <v>18.600000000000001</v>
      </c>
      <c r="G20" s="5">
        <f t="shared" si="0"/>
        <v>18.600000000000001</v>
      </c>
      <c r="H20" s="5" t="s">
        <v>49</v>
      </c>
      <c r="I20" s="1" t="s">
        <v>86</v>
      </c>
      <c r="J20" s="4"/>
    </row>
    <row r="21" spans="1:10" ht="15" customHeight="1" x14ac:dyDescent="0.25">
      <c r="A21" s="2"/>
      <c r="B21" s="8" t="s">
        <v>70</v>
      </c>
      <c r="C21" s="8" t="s">
        <v>117</v>
      </c>
      <c r="D21" s="8">
        <v>3</v>
      </c>
      <c r="E21" s="8">
        <v>1</v>
      </c>
      <c r="F21" s="9">
        <v>18.600000000000001</v>
      </c>
      <c r="G21" s="9">
        <f t="shared" si="0"/>
        <v>18.600000000000001</v>
      </c>
      <c r="H21" s="9" t="s">
        <v>122</v>
      </c>
      <c r="I21" s="10" t="s">
        <v>121</v>
      </c>
    </row>
    <row r="22" spans="1:10" ht="15" customHeight="1" x14ac:dyDescent="0.25">
      <c r="B22" s="2" t="s">
        <v>74</v>
      </c>
      <c r="C22" s="2" t="s">
        <v>75</v>
      </c>
      <c r="D22" s="2">
        <v>1</v>
      </c>
      <c r="E22" s="2">
        <v>1</v>
      </c>
      <c r="F22" s="5">
        <v>65.510000000000005</v>
      </c>
      <c r="G22" s="5">
        <f t="shared" si="0"/>
        <v>65.510000000000005</v>
      </c>
      <c r="H22" s="5" t="s">
        <v>76</v>
      </c>
      <c r="I22" s="1" t="s">
        <v>109</v>
      </c>
      <c r="J22" s="4"/>
    </row>
    <row r="23" spans="1:10" ht="15" customHeight="1" x14ac:dyDescent="0.25">
      <c r="B23" s="2" t="s">
        <v>77</v>
      </c>
      <c r="C23" s="2">
        <v>3200519</v>
      </c>
      <c r="D23" s="2">
        <v>25</v>
      </c>
      <c r="E23" s="2">
        <v>2</v>
      </c>
      <c r="F23" s="5">
        <v>0.15</v>
      </c>
      <c r="G23" s="5">
        <f t="shared" si="0"/>
        <v>0.3</v>
      </c>
      <c r="H23" s="5" t="s">
        <v>85</v>
      </c>
      <c r="I23" s="1" t="s">
        <v>84</v>
      </c>
      <c r="J23" s="4"/>
    </row>
    <row r="24" spans="1:10" ht="15" customHeight="1" x14ac:dyDescent="0.25">
      <c r="B24" s="2" t="s">
        <v>78</v>
      </c>
      <c r="C24" s="2">
        <v>3201097</v>
      </c>
      <c r="D24" s="2">
        <v>21</v>
      </c>
      <c r="E24" s="2">
        <v>2</v>
      </c>
      <c r="F24" s="5">
        <v>0.15</v>
      </c>
      <c r="G24" s="5">
        <f t="shared" si="0"/>
        <v>0.3</v>
      </c>
      <c r="H24" s="5" t="s">
        <v>85</v>
      </c>
      <c r="I24" s="1" t="s">
        <v>81</v>
      </c>
      <c r="J24" s="4"/>
    </row>
    <row r="25" spans="1:10" ht="15" customHeight="1" x14ac:dyDescent="0.25">
      <c r="B25" s="2" t="s">
        <v>79</v>
      </c>
      <c r="C25" s="2">
        <v>3201110</v>
      </c>
      <c r="D25" s="2">
        <v>25</v>
      </c>
      <c r="E25" s="2">
        <v>2</v>
      </c>
      <c r="F25" s="5">
        <v>0.15</v>
      </c>
      <c r="G25" s="5">
        <f t="shared" si="0"/>
        <v>0.3</v>
      </c>
      <c r="H25" s="5" t="s">
        <v>85</v>
      </c>
      <c r="I25" s="1" t="s">
        <v>83</v>
      </c>
      <c r="J25" s="4"/>
    </row>
    <row r="26" spans="1:10" ht="15" customHeight="1" x14ac:dyDescent="0.25">
      <c r="B26" s="2" t="s">
        <v>80</v>
      </c>
      <c r="C26" s="2">
        <v>3200904</v>
      </c>
      <c r="D26" s="2">
        <v>25</v>
      </c>
      <c r="E26" s="2">
        <v>2</v>
      </c>
      <c r="F26" s="5">
        <v>0.15</v>
      </c>
      <c r="G26" s="5">
        <f t="shared" si="0"/>
        <v>0.3</v>
      </c>
      <c r="H26" s="5" t="s">
        <v>85</v>
      </c>
      <c r="I26" s="1" t="s">
        <v>82</v>
      </c>
      <c r="J26" s="4"/>
    </row>
    <row r="27" spans="1:10" ht="15" customHeight="1" x14ac:dyDescent="0.25">
      <c r="A27" t="s">
        <v>91</v>
      </c>
      <c r="B27" s="2" t="s">
        <v>92</v>
      </c>
      <c r="C27" s="2" t="s">
        <v>93</v>
      </c>
      <c r="D27" s="2"/>
      <c r="E27" s="2">
        <v>1</v>
      </c>
      <c r="F27" s="5">
        <v>5.41</v>
      </c>
      <c r="G27" s="5">
        <f t="shared" si="0"/>
        <v>5.41</v>
      </c>
      <c r="H27" s="5" t="s">
        <v>96</v>
      </c>
      <c r="I27" s="1" t="s">
        <v>94</v>
      </c>
      <c r="J27" s="4"/>
    </row>
    <row r="28" spans="1:10" ht="15" customHeight="1" x14ac:dyDescent="0.25">
      <c r="B28" s="2" t="s">
        <v>92</v>
      </c>
      <c r="C28" s="2" t="s">
        <v>111</v>
      </c>
      <c r="D28" s="2"/>
      <c r="E28" s="2">
        <v>1</v>
      </c>
      <c r="F28" s="5">
        <v>9.07</v>
      </c>
      <c r="G28" s="5">
        <f t="shared" si="0"/>
        <v>9.07</v>
      </c>
      <c r="H28" s="5" t="s">
        <v>112</v>
      </c>
      <c r="I28" s="1" t="s">
        <v>110</v>
      </c>
      <c r="J28" s="4"/>
    </row>
    <row r="29" spans="1:10" ht="15" customHeight="1" x14ac:dyDescent="0.25">
      <c r="B29" s="2" t="s">
        <v>104</v>
      </c>
      <c r="C29" s="2" t="s">
        <v>105</v>
      </c>
      <c r="D29" s="2">
        <v>3</v>
      </c>
      <c r="E29" s="2">
        <v>1</v>
      </c>
      <c r="F29" s="5">
        <v>1220</v>
      </c>
      <c r="G29" s="5">
        <f>F29*E29</f>
        <v>1220</v>
      </c>
      <c r="H29" s="5"/>
      <c r="I29" s="1" t="s">
        <v>107</v>
      </c>
      <c r="J29" s="4"/>
    </row>
    <row r="30" spans="1:10" ht="15" customHeight="1" x14ac:dyDescent="0.25">
      <c r="B30" s="2" t="s">
        <v>106</v>
      </c>
      <c r="C30" s="2" t="s">
        <v>108</v>
      </c>
      <c r="D30" s="2">
        <v>3</v>
      </c>
      <c r="E30" s="2">
        <v>1</v>
      </c>
      <c r="F30" s="5">
        <v>548</v>
      </c>
      <c r="G30" s="5">
        <f>F30*E30</f>
        <v>548</v>
      </c>
      <c r="H30" s="5"/>
      <c r="I30" s="1"/>
      <c r="J30" s="4"/>
    </row>
    <row r="31" spans="1:10" ht="15" customHeight="1" x14ac:dyDescent="0.25">
      <c r="A31" s="2" t="s">
        <v>139</v>
      </c>
      <c r="B31" t="s">
        <v>124</v>
      </c>
      <c r="C31" s="2" t="s">
        <v>113</v>
      </c>
      <c r="D31" s="2"/>
      <c r="E31" s="2">
        <v>1</v>
      </c>
      <c r="F31" s="5">
        <v>1.05</v>
      </c>
      <c r="G31" s="5">
        <f>F31*E31</f>
        <v>1.05</v>
      </c>
      <c r="H31" s="5" t="s">
        <v>114</v>
      </c>
      <c r="I31" s="1" t="s">
        <v>115</v>
      </c>
      <c r="J31" s="4"/>
    </row>
    <row r="32" spans="1:10" ht="15" customHeight="1" x14ac:dyDescent="0.25">
      <c r="A32" s="2" t="s">
        <v>142</v>
      </c>
      <c r="B32" s="4" t="s">
        <v>147</v>
      </c>
      <c r="C32" s="2" t="s">
        <v>144</v>
      </c>
      <c r="D32" s="2"/>
      <c r="E32" s="2">
        <v>1</v>
      </c>
      <c r="F32" s="5">
        <v>1.55</v>
      </c>
      <c r="G32" s="5">
        <f>F32*E32</f>
        <v>1.55</v>
      </c>
      <c r="H32" s="5"/>
      <c r="I32" s="1" t="s">
        <v>140</v>
      </c>
      <c r="J32" s="4"/>
    </row>
    <row r="33" spans="1:10" ht="15" customHeight="1" x14ac:dyDescent="0.25">
      <c r="A33" s="2" t="s">
        <v>143</v>
      </c>
      <c r="B33" s="2" t="s">
        <v>145</v>
      </c>
      <c r="C33" s="4" t="s">
        <v>146</v>
      </c>
      <c r="D33" s="2"/>
      <c r="E33" s="2">
        <v>1</v>
      </c>
      <c r="F33" s="5">
        <v>2.3199999999999998</v>
      </c>
      <c r="G33" s="5">
        <f>F33*E33</f>
        <v>2.3199999999999998</v>
      </c>
      <c r="H33" s="5"/>
      <c r="I33" s="1" t="s">
        <v>141</v>
      </c>
      <c r="J33" s="4"/>
    </row>
    <row r="34" spans="1:10" ht="15" customHeight="1" x14ac:dyDescent="0.25">
      <c r="A34" s="4" t="s">
        <v>135</v>
      </c>
      <c r="B34" s="4" t="s">
        <v>130</v>
      </c>
      <c r="C34" s="2">
        <v>1786459</v>
      </c>
      <c r="D34" s="2"/>
      <c r="E34" s="2">
        <v>1</v>
      </c>
      <c r="F34">
        <v>7.62</v>
      </c>
      <c r="G34" s="5">
        <f t="shared" ref="G34:G38" si="2">F34*E34</f>
        <v>7.62</v>
      </c>
      <c r="H34" s="5"/>
      <c r="I34" s="3" t="s">
        <v>129</v>
      </c>
      <c r="J34" s="4"/>
    </row>
    <row r="35" spans="1:10" ht="15" customHeight="1" x14ac:dyDescent="0.25">
      <c r="A35" s="2" t="s">
        <v>123</v>
      </c>
      <c r="B35" s="2" t="s">
        <v>134</v>
      </c>
      <c r="C35" s="2">
        <v>1757271</v>
      </c>
      <c r="D35" s="2"/>
      <c r="E35" s="2">
        <v>1</v>
      </c>
      <c r="F35" s="5">
        <v>1.52</v>
      </c>
      <c r="G35" s="5">
        <f t="shared" si="2"/>
        <v>1.52</v>
      </c>
      <c r="H35" s="5"/>
      <c r="I35" s="3" t="s">
        <v>125</v>
      </c>
      <c r="J35" s="4"/>
    </row>
    <row r="36" spans="1:10" ht="15" customHeight="1" x14ac:dyDescent="0.25">
      <c r="A36" s="2" t="s">
        <v>136</v>
      </c>
      <c r="B36" s="4" t="s">
        <v>131</v>
      </c>
      <c r="C36" s="4">
        <v>1754504</v>
      </c>
      <c r="D36" s="2"/>
      <c r="E36" s="2">
        <v>1</v>
      </c>
      <c r="F36" s="5">
        <v>4.47</v>
      </c>
      <c r="G36" s="5">
        <f t="shared" si="2"/>
        <v>4.47</v>
      </c>
      <c r="H36" s="5"/>
      <c r="I36" s="3" t="s">
        <v>126</v>
      </c>
    </row>
    <row r="37" spans="1:10" x14ac:dyDescent="0.25">
      <c r="A37" s="2" t="s">
        <v>137</v>
      </c>
      <c r="B37" s="2" t="s">
        <v>133</v>
      </c>
      <c r="C37" s="4">
        <v>175725</v>
      </c>
      <c r="D37" s="2"/>
      <c r="E37" s="2">
        <v>1</v>
      </c>
      <c r="F37" s="2">
        <v>0.9</v>
      </c>
      <c r="G37" s="5">
        <f t="shared" si="2"/>
        <v>0.9</v>
      </c>
      <c r="H37" s="2"/>
      <c r="I37" s="3" t="s">
        <v>127</v>
      </c>
    </row>
    <row r="38" spans="1:10" x14ac:dyDescent="0.25">
      <c r="A38" s="2" t="s">
        <v>138</v>
      </c>
      <c r="B38" s="2" t="s">
        <v>132</v>
      </c>
      <c r="C38" s="4">
        <v>1757022</v>
      </c>
      <c r="D38" s="2"/>
      <c r="E38" s="2">
        <v>1</v>
      </c>
      <c r="F38" s="2">
        <v>2.71</v>
      </c>
      <c r="G38" s="5">
        <f t="shared" si="2"/>
        <v>2.71</v>
      </c>
      <c r="H38" s="2"/>
      <c r="I38" s="3" t="s">
        <v>128</v>
      </c>
    </row>
    <row r="39" spans="1:10" x14ac:dyDescent="0.25">
      <c r="E39" s="2"/>
      <c r="H39" s="2"/>
      <c r="I39" s="1"/>
    </row>
    <row r="43" spans="1:10" x14ac:dyDescent="0.25">
      <c r="F43" s="7" t="s">
        <v>10</v>
      </c>
      <c r="G43" s="5">
        <f>SUM(G2:G38)</f>
        <v>1985.9291999999998</v>
      </c>
    </row>
  </sheetData>
  <phoneticPr fontId="3" type="noConversion"/>
  <hyperlinks>
    <hyperlink ref="I3" r:id="rId1" xr:uid="{E51E5803-9FE0-4C14-AADE-368708EA871F}"/>
    <hyperlink ref="I8" r:id="rId2" display="https://www.digikey.com/en/products/detail/yageo/RC1206FR-071KL/728387" xr:uid="{A702FC16-8F83-4E3A-A93F-D9408DD2F39D}"/>
    <hyperlink ref="I9" r:id="rId3" display="https://www.digikey.com/en/products/detail/stackpole-electronics-inc/RMCF1206FT10K0/1759669" xr:uid="{0F8979C0-6DB2-4B44-9FCD-3042501D593A}"/>
    <hyperlink ref="I10" r:id="rId4" display="https://www.digikey.com/en/products/detail/onsemi/BC550CTA/974185" xr:uid="{1C677837-D3CB-4A91-8EDE-D2113FFCBD6D}"/>
    <hyperlink ref="I11" r:id="rId5" display="https://www.digikey.com/en/products/detail/infineon-technologies/IRF9540NPBF/812088" xr:uid="{729729D4-7B63-4C31-8298-AC9D511D3EF4}"/>
    <hyperlink ref="I12" r:id="rId6" display="https://www.digikey.com/en/products/detail/infineon-technologies/IRF540NPBF/811869" xr:uid="{2182B84E-2B06-4184-BD5D-E5391AA05B84}"/>
    <hyperlink ref="I2" r:id="rId7" display="https://www.digikey.com/en/products/detail/same-sky-formerly-cui-devices/PJ-002A/96962" xr:uid="{568D8FFB-A50B-4C55-ADF3-BEF9ED909CF8}"/>
    <hyperlink ref="I5" r:id="rId8" display="https://www.digikey.com/en/products/detail/phoenix-contact/1757064/260384" xr:uid="{2033BA66-A94C-4F37-8897-CE20B23FC91F}"/>
    <hyperlink ref="I4" r:id="rId9" display="https://www.digikey.com/en/products/detail/phoenix-contact/1757297/260479" xr:uid="{9CCD2936-CC49-4825-A93A-6F99555D80E1}"/>
    <hyperlink ref="I17" r:id="rId10" display="https://www.digikey.com/en/products/detail/te-connectivity-amp-connectors/5746879-1/2259521?so=99129841&amp;content=productdetail_row&amp;mkt_tok=MDI4LVNYSy01MDcAAAGhrFahbx9pi1nb6U1_s4a7w7WS1p3X3INFI0ss_GDSarh_0yxAQI_ou7h33vsiRGqzkAi1tRJ_RMrPOqZNoaK887jiuNeK_w3vjsVex_a8hJ4" xr:uid="{BDE66ED6-EDAE-4753-B79E-825610EEE962}"/>
    <hyperlink ref="I18" r:id="rId11" display="https://www.digikey.com/en/products/detail/te-connectivity-amp-connectors/1-215297-5/5589672?s=N4IgjCBcoEwBxVAYygMwIYBsDOBTANCAPZQDaIAzAJwxUBsADCALqEAOALlCAMocBOASwB2AcxABfQnATQQKSBhwFiZEFQDsAVjAUW7LpF4CR4qSB0xE8tFjyESkchQAsdLe-0hO3PkLGShAC0VnIKAgCuKo7kWiwS5qHkABa46AAmuPwABGwi2PFAA" xr:uid="{D892475B-FE55-4130-9723-35E629B254E7}"/>
    <hyperlink ref="I7" r:id="rId12" xr:uid="{9DD314B7-3D79-461E-9C6A-997EEC8DC3BE}"/>
    <hyperlink ref="I14" r:id="rId13" xr:uid="{7FB61CC9-F2C1-46B2-AF32-B41433DD34B1}"/>
    <hyperlink ref="I6" r:id="rId14" xr:uid="{3915B292-27C3-4E7F-86DE-77131ED779EF}"/>
    <hyperlink ref="I24" r:id="rId15" xr:uid="{2332F781-0981-412B-8087-9EF083A34C09}"/>
    <hyperlink ref="I26" r:id="rId16" xr:uid="{9D4C7BC7-8534-4598-B66B-9F4B7BF124CC}"/>
    <hyperlink ref="I25" r:id="rId17" xr:uid="{C76A3930-6E7E-4232-B1F1-2ED5A173BA06}"/>
    <hyperlink ref="I23" r:id="rId18" xr:uid="{89930E83-4AEA-4DE5-8019-E1271D4CE40C}"/>
    <hyperlink ref="I20" r:id="rId19" xr:uid="{2D3AA0A6-0D92-4AA2-9646-17F5F35EE4DB}"/>
    <hyperlink ref="I16" r:id="rId20" xr:uid="{40199BE7-DAC8-4F2F-B423-BBE8840267EA}"/>
    <hyperlink ref="I15" r:id="rId21" xr:uid="{35C9B14E-1DDC-4ADE-A779-D46ACC35493F}"/>
    <hyperlink ref="I27" r:id="rId22" xr:uid="{E3724D1C-4691-4AD5-B199-6AE5E0B71D4F}"/>
    <hyperlink ref="I13" r:id="rId23" xr:uid="{71949AF6-6BA4-468B-901F-14FEB75D0A11}"/>
    <hyperlink ref="I29" r:id="rId24" display="https://www.ni.com/en/shop/hardware/voltage/model-ni-9221" xr:uid="{3C142A9F-BAEE-4C11-A3C2-D919604D51FF}"/>
    <hyperlink ref="I28" r:id="rId25" xr:uid="{8E893F7C-DB4B-4F4D-B291-CA255F808870}"/>
    <hyperlink ref="I31" r:id="rId26" xr:uid="{00928615-FDB1-45E3-8AB2-52E230911FE4}"/>
    <hyperlink ref="I19" r:id="rId27" xr:uid="{5AFB7500-CC61-47CA-9C71-8F739D049854}"/>
    <hyperlink ref="I35" r:id="rId28" xr:uid="{8CF05644-1536-4813-BB61-B0DEE210F849}"/>
    <hyperlink ref="I36" r:id="rId29" xr:uid="{9393F431-5E4B-4B6D-8840-4BC7B3FCCEB1}"/>
    <hyperlink ref="I37" r:id="rId30" xr:uid="{F265A9C4-77A1-449B-9C65-7207AD716705}"/>
    <hyperlink ref="I38" r:id="rId31" xr:uid="{B1A567F8-0927-48EC-8965-9D359D96BA20}"/>
    <hyperlink ref="I34" r:id="rId32" xr:uid="{1021541E-8B31-4BB5-8D64-95533B3632C4}"/>
    <hyperlink ref="I32" r:id="rId33" xr:uid="{C73B6B56-51F8-4A4B-996B-2B9B591969B7}"/>
    <hyperlink ref="I33" r:id="rId34" xr:uid="{09A5761A-DF11-41BD-BED8-C6B77F090D5E}"/>
  </hyperlinks>
  <pageMargins left="0.7" right="0.7" top="0.75" bottom="0.75" header="0.3" footer="0.3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2026-08-29T02:11:56Z</dcterms:modified>
</cp:coreProperties>
</file>