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D1945863-546F-4BD5-B04E-855B1209CF67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5" i="1"/>
  <c r="F17" i="1"/>
  <c r="F12" i="1"/>
  <c r="F13" i="1"/>
  <c r="F14" i="1"/>
  <c r="F4" i="1"/>
  <c r="F3" i="1"/>
  <c r="F5" i="1"/>
  <c r="F6" i="1"/>
  <c r="F7" i="1"/>
  <c r="F8" i="1"/>
  <c r="F9" i="1"/>
  <c r="F10" i="1"/>
  <c r="F11" i="1"/>
  <c r="F2" i="1"/>
  <c r="F18" i="1" l="1"/>
</calcChain>
</file>

<file path=xl/sharedStrings.xml><?xml version="1.0" encoding="utf-8"?>
<sst xmlns="http://schemas.openxmlformats.org/spreadsheetml/2006/main" count="68" uniqueCount="66">
  <si>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</si>
  <si>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</si>
  <si>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</si>
  <si>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</si>
  <si>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</si>
  <si>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</si>
  <si>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</si>
  <si>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</si>
  <si>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</si>
  <si>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</si>
  <si>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</si>
  <si>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</si>
  <si>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</si>
  <si>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</si>
  <si>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</si>
  <si>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</si>
  <si>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</si>
  <si>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</si>
  <si>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</si>
  <si>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</si>
  <si>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</si>
  <si>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</si>
  <si>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</si>
  <si>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</si>
  <si>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</si>
  <si>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</si>
  <si>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</si>
  <si>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</si>
  <si>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</si>
  <si>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</si>
  <si>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</si>
  <si>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</si>
  <si>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</si>
  <si>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</si>
  <si>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</si>
  <si>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</si>
  <si>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</si>
  <si>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</si>
  <si>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</si>
  <si>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</si>
  <si>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</si>
  <si>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</si>
  <si>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</si>
  <si>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</si>
  <si>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</si>
  <si>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</si>
  <si>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</si>
  <si>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</si>
  <si>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</si>
  <si>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</si>
  <si>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</si>
  <si>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</si>
  <si>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</si>
  <si>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</si>
  <si>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</si>
  <si>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</si>
  <si>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</si>
  <si>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6 (BTF), 2 (CTA)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</si>
  <si>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</si>
  <si>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</si>
  <si>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</si>
  <si>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</si>
  <si>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</si>
  <si>
    <t>Female Header Pins</t>
  </si>
  <si>
    <t>Solder to microcontroller footprint to make detachable</t>
  </si>
  <si>
    <t>1-215297-5 TE Connectivity AMP Connectors | Headers, Receptacles, Female Sockets | DigiKey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</si>
</sst>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13" Type="http://schemas.openxmlformats.org/officeDocument/2006/relationships/hyperlink" Target="https://www.digikey.com/en/products/detail/mean-well-usa-inc/GST60A12-P1J/770371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Relationship Id="rId14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3"/>
  <sheetViews>
    <sheetView tabSelected="1" topLeftCell="A3" zoomScale="115" zoomScaleNormal="115" workbookViewId="0">
      <selection activeCell="E17" sqref="E17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79" bestFit="1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6" t="s">
        <v>1</v>
      </c>
      <c r="B1" s="6" t="s">
        <v>2</v>
      </c>
      <c r="C1" s="6" t="s">
        <v>39</v>
      </c>
      <c r="D1" s="6" t="s">
        <v>37</v>
      </c>
      <c r="E1" s="6" t="s">
        <v>3</v>
      </c>
      <c r="F1" s="6" t="s">
        <v>0</v>
      </c>
      <c r="G1" s="6" t="s">
        <v>11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</row>
    <row r="2" spans="1:13" ht="15" customHeight="1" x14ac:dyDescent="0.35">
      <c r="A2" t="s">
        <v>16</v>
      </c>
      <c r="B2" s="2" t="s">
        <v>12</v>
      </c>
      <c r="C2" s="2">
        <v>9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38</v>
      </c>
      <c r="I2" s="4"/>
      <c r="J2" s="2"/>
    </row>
    <row r="3" spans="1:13" ht="15" customHeight="1" x14ac:dyDescent="0.35">
      <c r="A3" t="s">
        <v>17</v>
      </c>
      <c r="B3" s="2" t="s">
        <v>47</v>
      </c>
      <c r="C3" s="2">
        <v>0</v>
      </c>
      <c r="D3" s="2">
        <v>1</v>
      </c>
      <c r="E3" s="5">
        <v>5.9</v>
      </c>
      <c r="F3" s="5">
        <f t="shared" ref="F3:F17" si="0">E3*D3</f>
        <v>5.9</v>
      </c>
      <c r="G3" s="5" t="s">
        <v>56</v>
      </c>
      <c r="H3" s="1" t="s">
        <v>48</v>
      </c>
    </row>
    <row r="4" spans="1:13" ht="15" customHeight="1" x14ac:dyDescent="0.35">
      <c r="A4" t="s">
        <v>18</v>
      </c>
      <c r="B4" s="2" t="s">
        <v>41</v>
      </c>
      <c r="C4" s="2">
        <v>1</v>
      </c>
      <c r="D4" s="2">
        <v>1</v>
      </c>
      <c r="E4" s="5">
        <v>4.72</v>
      </c>
      <c r="F4" s="5">
        <f t="shared" si="0"/>
        <v>4.72</v>
      </c>
      <c r="G4" s="5" t="s">
        <v>42</v>
      </c>
      <c r="H4" s="1" t="s">
        <v>44</v>
      </c>
    </row>
    <row r="5" spans="1:13" ht="15" customHeight="1" x14ac:dyDescent="0.35">
      <c r="A5" t="s">
        <v>18</v>
      </c>
      <c r="B5" s="2" t="s">
        <v>40</v>
      </c>
      <c r="C5" s="2">
        <v>1</v>
      </c>
      <c r="D5" s="2">
        <v>1</v>
      </c>
      <c r="E5" s="5">
        <v>12.55</v>
      </c>
      <c r="F5" s="5">
        <f t="shared" si="0"/>
        <v>12.55</v>
      </c>
      <c r="G5" s="5" t="s">
        <v>42</v>
      </c>
      <c r="H5" s="1" t="s">
        <v>43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0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48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48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57</v>
      </c>
      <c r="D9" s="2">
        <v>2</v>
      </c>
      <c r="E9" s="5">
        <v>0.28000000000000003</v>
      </c>
      <c r="F9" s="5">
        <f t="shared" si="0"/>
        <v>0.56000000000000005</v>
      </c>
      <c r="G9" s="5" t="s">
        <v>46</v>
      </c>
      <c r="H9" s="1" t="s">
        <v>34</v>
      </c>
      <c r="I9" s="1" t="s">
        <v>45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7</v>
      </c>
      <c r="D10" s="2">
        <v>2</v>
      </c>
      <c r="E10" s="5">
        <v>2.0699999999999998</v>
      </c>
      <c r="F10" s="5">
        <f t="shared" si="0"/>
        <v>4.1399999999999997</v>
      </c>
      <c r="G10" s="5" t="s">
        <v>54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>
        <v>0</v>
      </c>
      <c r="D11" s="2">
        <v>2</v>
      </c>
      <c r="E11" s="5">
        <v>1.93</v>
      </c>
      <c r="F11" s="5">
        <f t="shared" si="0"/>
        <v>3.86</v>
      </c>
      <c r="G11" s="5" t="s">
        <v>55</v>
      </c>
      <c r="H11" s="1" t="s">
        <v>36</v>
      </c>
      <c r="I11" s="4"/>
    </row>
    <row r="12" spans="1:13" ht="15" customHeight="1" x14ac:dyDescent="0.35">
      <c r="A12" s="2" t="s">
        <v>53</v>
      </c>
      <c r="B12" s="2" t="s">
        <v>49</v>
      </c>
      <c r="C12" s="2">
        <v>0</v>
      </c>
      <c r="D12" s="2">
        <v>3</v>
      </c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 t="s">
        <v>52</v>
      </c>
      <c r="B13" s="2" t="s">
        <v>50</v>
      </c>
      <c r="C13" s="2">
        <v>12</v>
      </c>
      <c r="D13" s="2">
        <v>3</v>
      </c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51</v>
      </c>
      <c r="C14" s="2">
        <v>12</v>
      </c>
      <c r="D14" s="2">
        <v>3</v>
      </c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 t="s">
        <v>58</v>
      </c>
      <c r="C15" s="2">
        <v>0</v>
      </c>
      <c r="D15" s="2">
        <v>2</v>
      </c>
      <c r="E15" s="5">
        <v>0.59</v>
      </c>
      <c r="F15" s="5">
        <f t="shared" ref="F15" si="1">E15*D15</f>
        <v>1.18</v>
      </c>
      <c r="G15" s="5"/>
      <c r="H15" s="1" t="s">
        <v>59</v>
      </c>
      <c r="I15" s="4"/>
    </row>
    <row r="16" spans="1:13" ht="15" customHeight="1" x14ac:dyDescent="0.35">
      <c r="A16" s="2"/>
      <c r="B16" s="2" t="s">
        <v>63</v>
      </c>
      <c r="C16" s="2">
        <v>0</v>
      </c>
      <c r="D16" s="2">
        <v>2</v>
      </c>
      <c r="E16" s="5">
        <v>5.86</v>
      </c>
      <c r="F16" s="5">
        <f t="shared" ref="F16" si="2">E16*D16</f>
        <v>11.72</v>
      </c>
      <c r="G16" s="5" t="s">
        <v>64</v>
      </c>
      <c r="H16" s="1" t="s">
        <v>65</v>
      </c>
      <c r="I16" s="4"/>
    </row>
    <row r="17" spans="1:9" ht="15" customHeight="1" x14ac:dyDescent="0.35">
      <c r="A17" s="2"/>
      <c r="B17" s="2" t="s">
        <v>60</v>
      </c>
      <c r="C17" s="2">
        <v>0</v>
      </c>
      <c r="D17" s="2">
        <v>1</v>
      </c>
      <c r="E17" s="5">
        <v>18.600000000000001</v>
      </c>
      <c r="F17" s="5">
        <f t="shared" si="0"/>
        <v>18.600000000000001</v>
      </c>
      <c r="G17" s="5" t="s">
        <v>61</v>
      </c>
      <c r="H17" s="1" t="s">
        <v>62</v>
      </c>
      <c r="I17" s="4"/>
    </row>
    <row r="18" spans="1:9" ht="15" customHeight="1" x14ac:dyDescent="0.35">
      <c r="A18" s="2"/>
      <c r="B18" s="2"/>
      <c r="C18" s="2"/>
      <c r="D18" s="2"/>
      <c r="E18" s="7" t="s">
        <v>10</v>
      </c>
      <c r="F18" s="5">
        <f>SUM(F2:F17)</f>
        <v>66.02</v>
      </c>
      <c r="G18" s="5"/>
      <c r="H18" s="3"/>
      <c r="I18" s="4"/>
    </row>
    <row r="19" spans="1:9" ht="15" customHeight="1" x14ac:dyDescent="0.35">
      <c r="A19" s="2"/>
      <c r="B19" s="2"/>
      <c r="C19" s="2"/>
      <c r="D19" s="2"/>
      <c r="E19" s="5"/>
      <c r="F19" s="5"/>
      <c r="G19" s="5"/>
      <c r="H19" s="3"/>
      <c r="I19" s="4"/>
    </row>
    <row r="20" spans="1:9" ht="15" customHeight="1" x14ac:dyDescent="0.35">
      <c r="A20" s="2"/>
      <c r="B20" s="2"/>
      <c r="C20" s="2"/>
      <c r="D20" s="2"/>
      <c r="E20" s="2"/>
      <c r="F20" s="5"/>
      <c r="G20" s="5"/>
      <c r="H20" s="3"/>
    </row>
    <row r="21" spans="1:9" x14ac:dyDescent="0.35">
      <c r="A21" s="2"/>
      <c r="B21" s="2"/>
      <c r="C21" s="2"/>
      <c r="D21" s="2"/>
      <c r="E21" s="2"/>
      <c r="F21" s="2"/>
      <c r="G21" s="2"/>
      <c r="H21" s="3"/>
    </row>
    <row r="22" spans="1:9" x14ac:dyDescent="0.35">
      <c r="A22" s="2"/>
      <c r="B22" s="2"/>
      <c r="C22" s="2"/>
      <c r="D22" s="2"/>
      <c r="E22" s="2"/>
      <c r="F22" s="2"/>
      <c r="G22" s="2"/>
      <c r="H22" s="3"/>
    </row>
    <row r="23" spans="1:9" x14ac:dyDescent="0.35">
      <c r="A23" s="2"/>
      <c r="D23" s="2"/>
      <c r="E23" s="2"/>
      <c r="F23" s="2"/>
      <c r="G23" s="2"/>
      <c r="H23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  <hyperlink ref="H15" r:id="rId12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H17" r:id="rId13" display="https://www.digikey.com/en/products/detail/mean-well-usa-inc/GST60A12-P1J/7703712" xr:uid="{78CD07DF-07E7-4658-BB2C-F43FEF69A3FE}"/>
    <hyperlink ref="H16" r:id="rId14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2026-06-03T19:02:07Z</dcterms:modified>
</cp:coreProperties>
</file>