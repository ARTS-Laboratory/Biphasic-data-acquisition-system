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e6d0746713a8929/Documents/GitHub/Biphasic-data-acquisition-system/DAQ_design/Assisi/v0.2.1/"/>
    </mc:Choice>
  </mc:AlternateContent>
  <xr:revisionPtr revIDLastSave="13" documentId="13_ncr:1_{B7E51C6B-E5C5-4586-A688-9E1075DE122B}" xr6:coauthVersionLast="47" xr6:coauthVersionMax="47" xr10:uidLastSave="{E5D965AC-AFEA-468A-AA31-7246F7A284E6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G23" i="1"/>
  <c r="G22" i="1"/>
  <c r="G6" i="1"/>
  <c r="G15" i="1"/>
  <c r="G19" i="1"/>
  <c r="G18" i="1"/>
  <c r="G20" i="1"/>
  <c r="G13" i="1"/>
  <c r="G14" i="1"/>
  <c r="G17" i="1"/>
  <c r="G4" i="1"/>
  <c r="G3" i="1"/>
  <c r="G5" i="1"/>
  <c r="G7" i="1"/>
  <c r="G8" i="1"/>
  <c r="G9" i="1"/>
  <c r="G10" i="1"/>
  <c r="G11" i="1"/>
  <c r="G12" i="1"/>
  <c r="G2" i="1"/>
  <c r="G27" i="1" l="1"/>
</calcChain>
</file>

<file path=xl/sharedStrings.xml><?xml version="1.0" encoding="utf-8"?>
<sst xmlns="http://schemas.openxmlformats.org/spreadsheetml/2006/main" count="107" uniqueCount="97">
  <si>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</si>
  <si>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</si>
  <si>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</si>
  <si>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</si>
  <si>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</si>
  <si>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</si>
  <si>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</si>
  <si>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</si>
  <si>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</si>
  <si>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</si>
  <si>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</si>
  <si>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</si>
  <si>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</si>
  <si>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</si>
  <si>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</si>
  <si>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</si>
  <si>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</si>
  <si>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</si>
  <si>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</si>
  <si>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</si>
  <si>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</si>
  <si>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</si>
  <si>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</si>
  <si>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</si>
  <si>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</si>
  <si>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</si>
  <si>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</si>
  <si>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</si>
  <si>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</si>
  <si>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</si>
  <si>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</si>
  <si>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</si>
  <si>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</si>
  <si>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</si>
  <si>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</si>
  <si>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</si>
  <si>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</si>
  <si>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</si>
  <si>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</si>
  <si>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</si>
  <si>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</si>
  <si>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</si>
  <si>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</si>
  <si>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</si>
  <si>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</si>
  <si>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</si>
  <si>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</si>
  <si>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</si>
  <si>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</si>
  <si>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</si>
  <si>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</si>
  <si>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</si>
  <si>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</si>
  <si>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</si>
  <si>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</si>
  <si>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</si>
  <si>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</si>
  <si>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</si>
  <si>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</si>
  <si>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</si>
  <si>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</si>
  <si>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</si>
  <si>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</si>
  <si>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</si>
  <si>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</si>
  <si>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</si>
  <si>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</si>
  <si>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</si>
  <si>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</si>
  <si>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</si>
  <si>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</si>
  <si>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</si>
  <si>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</si>
  <si>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</si>
  <si>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</si>
  <si>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Power Supply 12V</t>
  </si>
  <si>
    <t>https://www.digikey.com/en/products/detail/phoenix-contact/1776113/2511240</t>
  </si>
  <si>
    <t>Screw Terminal Female with strain relief</t>
  </si>
  <si>
    <t>Allow for secure yet detachable wiring (with strain relief)</t>
  </si>
  <si>
    <t>hook up wire</t>
  </si>
  <si>
    <t>76502.18.01</t>
  </si>
  <si>
    <t xml:space="preserve">500' of 18 AWG 16/30 hook-up wire, black, will be color-coded with crimp terminals. </t>
  </si>
  <si>
    <t>Ferrule - gray</t>
  </si>
  <si>
    <t>Ferrule - yellow</t>
  </si>
  <si>
    <t>Ferrule - white</t>
  </si>
  <si>
    <t>Ferrule - red</t>
  </si>
  <si>
    <t>https://www.digikey.com/en/products/detail/phoenix-contact/3201097/2424724</t>
  </si>
  <si>
    <t>https://www.digikey.com/en/products/detail/phoenix-contact/3200030/349907</t>
  </si>
  <si>
    <t>https://www.digikey.com/en/products/detail/phoenix-contact/3201110/2424723</t>
  </si>
  <si>
    <t>https://www.digikey.com/en/products/detail/phoenix-contact/3200519/349935</t>
  </si>
  <si>
    <t>Color coded Ferrule to go with the black wire</t>
  </si>
  <si>
    <t>https://www.digikey.com/en/products/detail/mean-well-usa-inc/GST60A09-P1J/7703711</t>
  </si>
  <si>
    <t>https://www.grainger.com/product/Hex-Nut-Std-Hex-22UK82</t>
  </si>
  <si>
    <t>https://nam02.safelinks.protection.outlook.com/?url=https%3A%2F%2Fwww.grainger.com%2Fproduct%2FFlat-Washer-18-8-26WC32&amp;data=05%7C02%7CAIGIESE%40email.sc.edu%7Cf05aada4311643fb699908ded0976258%7C4b2a4b19d135420e8bb2b1cd238998cc%7C0%7C0%7C639177545789061167%7CUnknown%7CTWFpbGZsb3d8eyJFbXB0eU1hcGkiOnRydWUsIlYiOiIwLjAuMDAwMCIsIlAiOiJXaW4zMiIsIkFOIjoiTWFpbCIsIldUIjoyfQ%3D%3D%7C0%7C%7C%7C&amp;sdata=6CoqYV%2BZ3hTIH8hXzw%2B6eFP6vmT5tDuPQxYZMFG%2B9QQ%3D&amp;reserved=0</t>
  </si>
  <si>
    <t>M4 x 16 mm Socket Head Cap Screw</t>
  </si>
  <si>
    <t>https://www.grainger.com/product/Socket-Head-Cap-Screw-M4x0-22UC47</t>
  </si>
  <si>
    <t>22UC47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</si>
</sst>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18" Type="http://schemas.openxmlformats.org/officeDocument/2006/relationships/hyperlink" Target="https://www.digikey.com/en/products/detail/phoenix-contact/3200030/349907" TargetMode="External"/><Relationship Id="rId3" Type="http://schemas.openxmlformats.org/officeDocument/2006/relationships/hyperlink" Target="https://www.digikey.com/en/products/detail/stackpole-electronics-inc/RMCF1206FT10K0/1759669" TargetMode="External"/><Relationship Id="rId21" Type="http://schemas.openxmlformats.org/officeDocument/2006/relationships/hyperlink" Target="https://www.digikey.com/en/products/detail/mean-well-usa-inc/GST60A09-P1J/7703711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17" Type="http://schemas.openxmlformats.org/officeDocument/2006/relationships/hyperlink" Target="https://www.digikey.com/en/products/detail/phoenix-contact/3201097/2424724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hyperlink" Target="https://www.digikey.com/en/products/detail/phoenix-contact/3201097/2424724" TargetMode="External"/><Relationship Id="rId20" Type="http://schemas.openxmlformats.org/officeDocument/2006/relationships/hyperlink" Target="https://www.digikey.com/en/products/detail/phoenix-contact/3200519/349935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24" Type="http://schemas.openxmlformats.org/officeDocument/2006/relationships/hyperlink" Target="https://www.grainger.com/product/Socket-Head-Cap-Screw-M4x0-22UC47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digikey.com/en/products/detail/phoenix-contact/1776113/2511240" TargetMode="External"/><Relationship Id="rId23" Type="http://schemas.openxmlformats.org/officeDocument/2006/relationships/hyperlink" Target="https://nam02.safelinks.protection.outlook.com/?url=https%3A%2F%2Fwww.grainger.com%2Fproduct%2FFlat-Washer-18-8-26WC32&amp;data=05%7C02%7CAIGIESE%40email.sc.edu%7Cf05aada4311643fb699908ded0976258%7C4b2a4b19d135420e8bb2b1cd238998cc%7C0%7C0%7C639177545789061167%7CUnknown%7CTWFpbGZsb3d8eyJFbXB0eU1hcGkiOnRydWUsIlYiOiIwLjAuMDAwMCIsIlAiOiJXaW4zMiIsIkFOIjoiTWFpbCIsIldUIjoyfQ%3D%3D%7C0%7C%7C%7C&amp;sdata=6CoqYV%2BZ3hTIH8hXzw%2B6eFP6vmT5tDuPQxYZMFG%2B9QQ%3D&amp;reserved=0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19" Type="http://schemas.openxmlformats.org/officeDocument/2006/relationships/hyperlink" Target="https://www.digikey.com/en/products/detail/phoenix-contact/3201110/2424723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Relationship Id="rId22" Type="http://schemas.openxmlformats.org/officeDocument/2006/relationships/hyperlink" Target="https://www.grainger.com/product/Hex-Nut-Std-Hex-22UK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32"/>
  <sheetViews>
    <sheetView tabSelected="1" zoomScale="115" zoomScaleNormal="115" workbookViewId="0">
      <selection activeCell="H21" sqref="H21"/>
    </sheetView>
  </sheetViews>
  <sheetFormatPr defaultColWidth="8.88671875" defaultRowHeight="14.4" x14ac:dyDescent="0.3"/>
  <cols>
    <col min="1" max="1" width="12.109375" bestFit="1" customWidth="1"/>
    <col min="2" max="2" width="30" bestFit="1" customWidth="1"/>
    <col min="3" max="3" width="15.5546875" bestFit="1" customWidth="1"/>
    <col min="4" max="4" width="17.88671875" bestFit="1" customWidth="1"/>
    <col min="5" max="5" width="15.88671875" bestFit="1" customWidth="1"/>
    <col min="6" max="6" width="13.5546875" bestFit="1" customWidth="1"/>
    <col min="7" max="7" width="9.5546875" bestFit="1" customWidth="1"/>
    <col min="8" max="8" width="147.44140625" bestFit="1" customWidth="1"/>
    <col min="9" max="9" width="79" bestFit="1" customWidth="1"/>
    <col min="10" max="10" width="45.5546875" bestFit="1" customWidth="1"/>
    <col min="11" max="11" width="83.5546875" customWidth="1"/>
    <col min="12" max="12" width="62.5546875" customWidth="1"/>
    <col min="13" max="13" width="55.88671875" customWidth="1"/>
    <col min="14" max="14" width="51" customWidth="1"/>
  </cols>
  <sheetData>
    <row r="1" spans="1:14" ht="15" customHeight="1" x14ac:dyDescent="0.3">
      <c r="A1" s="6" t="s">
        <v>1</v>
      </c>
      <c r="B1" s="6" t="s">
        <v>2</v>
      </c>
      <c r="C1" s="6" t="s">
        <v>62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3">
      <c r="A2" t="s">
        <v>15</v>
      </c>
      <c r="B2" s="2" t="s">
        <v>61</v>
      </c>
      <c r="C2" s="2" t="s">
        <v>63</v>
      </c>
      <c r="D2" s="2">
        <v>8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3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23" si="0">F3*E3</f>
        <v>5.9</v>
      </c>
      <c r="H3" s="5" t="s">
        <v>50</v>
      </c>
      <c r="I3" s="1" t="s">
        <v>42</v>
      </c>
    </row>
    <row r="4" spans="1:14" ht="15" customHeight="1" x14ac:dyDescent="0.3">
      <c r="A4" t="s">
        <v>17</v>
      </c>
      <c r="B4" s="2" t="s">
        <v>37</v>
      </c>
      <c r="C4" s="2">
        <v>1757064</v>
      </c>
      <c r="D4" s="2">
        <v>0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3">
      <c r="A5" t="s">
        <v>17</v>
      </c>
      <c r="B5" s="2" t="s">
        <v>36</v>
      </c>
      <c r="C5" s="2">
        <v>1757297</v>
      </c>
      <c r="D5" s="2">
        <v>4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3">
      <c r="A6" t="s">
        <v>17</v>
      </c>
      <c r="B6" s="2" t="s">
        <v>77</v>
      </c>
      <c r="C6" s="4">
        <v>1776113</v>
      </c>
      <c r="D6" s="2"/>
      <c r="E6" s="2">
        <v>1</v>
      </c>
      <c r="F6" s="5">
        <v>9.5</v>
      </c>
      <c r="G6" s="5">
        <f t="shared" si="0"/>
        <v>9.5</v>
      </c>
      <c r="H6" s="5" t="s">
        <v>78</v>
      </c>
      <c r="I6" s="1" t="s">
        <v>76</v>
      </c>
      <c r="J6" s="4"/>
      <c r="K6" s="4"/>
    </row>
    <row r="7" spans="1:14" ht="15" customHeight="1" x14ac:dyDescent="0.3">
      <c r="A7" t="s">
        <v>23</v>
      </c>
      <c r="B7" s="2" t="s">
        <v>12</v>
      </c>
      <c r="C7" s="4" t="s">
        <v>58</v>
      </c>
      <c r="D7" s="2">
        <v>3</v>
      </c>
      <c r="E7" s="2">
        <v>1</v>
      </c>
      <c r="F7" s="5">
        <v>1.81</v>
      </c>
      <c r="G7" s="5">
        <f t="shared" si="0"/>
        <v>1.81</v>
      </c>
      <c r="H7" s="5" t="s">
        <v>25</v>
      </c>
      <c r="I7" s="1" t="s">
        <v>57</v>
      </c>
      <c r="J7" s="3"/>
      <c r="K7" s="4"/>
    </row>
    <row r="8" spans="1:14" ht="15" customHeight="1" x14ac:dyDescent="0.3">
      <c r="A8" t="s">
        <v>18</v>
      </c>
      <c r="B8" s="2" t="s">
        <v>13</v>
      </c>
      <c r="C8" s="2" t="s">
        <v>64</v>
      </c>
      <c r="D8" s="2">
        <v>46</v>
      </c>
      <c r="E8" s="2">
        <v>2</v>
      </c>
      <c r="F8" s="5">
        <v>0.1</v>
      </c>
      <c r="G8" s="5">
        <f t="shared" si="0"/>
        <v>0.2</v>
      </c>
      <c r="H8" s="5" t="s">
        <v>27</v>
      </c>
      <c r="I8" s="1" t="s">
        <v>26</v>
      </c>
      <c r="J8" s="4"/>
    </row>
    <row r="9" spans="1:14" ht="15" customHeight="1" x14ac:dyDescent="0.3">
      <c r="A9" t="s">
        <v>19</v>
      </c>
      <c r="B9" s="2" t="s">
        <v>14</v>
      </c>
      <c r="C9" s="2" t="s">
        <v>66</v>
      </c>
      <c r="D9" s="2">
        <v>46</v>
      </c>
      <c r="E9" s="2">
        <v>2</v>
      </c>
      <c r="F9" s="5">
        <v>0.1</v>
      </c>
      <c r="G9" s="5">
        <f t="shared" si="0"/>
        <v>0.2</v>
      </c>
      <c r="H9" s="5" t="s">
        <v>29</v>
      </c>
      <c r="I9" s="1" t="s">
        <v>28</v>
      </c>
    </row>
    <row r="10" spans="1:14" ht="15" customHeight="1" x14ac:dyDescent="0.3">
      <c r="A10" s="2" t="s">
        <v>20</v>
      </c>
      <c r="B10" s="2" t="s">
        <v>68</v>
      </c>
      <c r="C10" s="2" t="s">
        <v>67</v>
      </c>
      <c r="D10" s="2">
        <v>10</v>
      </c>
      <c r="E10" s="2">
        <v>2</v>
      </c>
      <c r="F10" s="5">
        <v>0.28000000000000003</v>
      </c>
      <c r="G10" s="5">
        <f t="shared" si="0"/>
        <v>0.56000000000000005</v>
      </c>
      <c r="H10" s="5" t="s">
        <v>59</v>
      </c>
      <c r="I10" s="1" t="s">
        <v>30</v>
      </c>
      <c r="J10" s="1"/>
      <c r="K10" s="3"/>
      <c r="L10" s="3"/>
      <c r="M10" s="4"/>
      <c r="N10" s="4"/>
    </row>
    <row r="11" spans="1:14" ht="15" customHeight="1" x14ac:dyDescent="0.3">
      <c r="A11" s="2" t="s">
        <v>21</v>
      </c>
      <c r="B11" s="2" t="s">
        <v>70</v>
      </c>
      <c r="C11" s="2" t="s">
        <v>69</v>
      </c>
      <c r="D11" s="2">
        <v>4</v>
      </c>
      <c r="E11" s="2">
        <v>2</v>
      </c>
      <c r="F11" s="5">
        <v>2.0699999999999998</v>
      </c>
      <c r="G11" s="5">
        <f t="shared" si="0"/>
        <v>4.1399999999999997</v>
      </c>
      <c r="H11" s="5" t="s">
        <v>48</v>
      </c>
      <c r="I11" s="1" t="s">
        <v>31</v>
      </c>
      <c r="J11" s="4"/>
    </row>
    <row r="12" spans="1:14" ht="15" customHeight="1" x14ac:dyDescent="0.3">
      <c r="A12" s="2" t="s">
        <v>22</v>
      </c>
      <c r="B12" s="2" t="s">
        <v>24</v>
      </c>
      <c r="C12" s="2"/>
      <c r="D12" s="2">
        <v>6</v>
      </c>
      <c r="E12" s="2">
        <v>2</v>
      </c>
      <c r="F12" s="5">
        <v>1.93</v>
      </c>
      <c r="G12" s="5">
        <f t="shared" si="0"/>
        <v>3.86</v>
      </c>
      <c r="H12" s="5" t="s">
        <v>49</v>
      </c>
      <c r="I12" s="1" t="s">
        <v>32</v>
      </c>
      <c r="J12" s="4"/>
    </row>
    <row r="13" spans="1:14" ht="15" customHeight="1" x14ac:dyDescent="0.3">
      <c r="A13" s="2" t="s">
        <v>47</v>
      </c>
      <c r="B13" s="2" t="s">
        <v>43</v>
      </c>
      <c r="C13" s="2"/>
      <c r="D13" s="2">
        <v>0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3">
      <c r="A14" s="2" t="s">
        <v>46</v>
      </c>
      <c r="B14" s="2" t="s">
        <v>44</v>
      </c>
      <c r="C14" s="2"/>
      <c r="D14" s="2">
        <v>12</v>
      </c>
      <c r="E14" s="2">
        <v>3</v>
      </c>
      <c r="F14" s="5"/>
      <c r="G14" s="5">
        <f t="shared" si="0"/>
        <v>0</v>
      </c>
      <c r="H14" s="5"/>
      <c r="I14" s="1" t="s">
        <v>93</v>
      </c>
      <c r="J14" s="4"/>
    </row>
    <row r="15" spans="1:14" ht="15" customHeight="1" x14ac:dyDescent="0.3">
      <c r="A15" s="2"/>
      <c r="B15" s="2" t="s">
        <v>71</v>
      </c>
      <c r="C15" s="2" t="s">
        <v>73</v>
      </c>
      <c r="D15" s="2">
        <v>0</v>
      </c>
      <c r="E15" s="2">
        <v>1</v>
      </c>
      <c r="F15" s="5">
        <v>10.31</v>
      </c>
      <c r="G15" s="5">
        <f t="shared" si="0"/>
        <v>10.31</v>
      </c>
      <c r="H15" s="5" t="s">
        <v>74</v>
      </c>
      <c r="I15" s="1" t="s">
        <v>72</v>
      </c>
    </row>
    <row r="16" spans="1:14" ht="15" customHeight="1" x14ac:dyDescent="0.3">
      <c r="A16" s="2"/>
      <c r="B16" s="2" t="s">
        <v>94</v>
      </c>
      <c r="C16" s="2" t="s">
        <v>96</v>
      </c>
      <c r="D16" s="2"/>
      <c r="E16" s="2">
        <v>1</v>
      </c>
      <c r="F16" s="5">
        <v>5.9</v>
      </c>
      <c r="G16" s="5">
        <f t="shared" si="0"/>
        <v>5.9</v>
      </c>
      <c r="H16" s="5" t="s">
        <v>74</v>
      </c>
      <c r="I16" s="1" t="s">
        <v>95</v>
      </c>
    </row>
    <row r="17" spans="1:10" ht="15" customHeight="1" x14ac:dyDescent="0.3">
      <c r="A17" s="2"/>
      <c r="B17" s="2" t="s">
        <v>45</v>
      </c>
      <c r="C17" s="2"/>
      <c r="D17" s="2">
        <v>12</v>
      </c>
      <c r="E17" s="2">
        <v>3</v>
      </c>
      <c r="F17" s="5"/>
      <c r="G17" s="5">
        <f t="shared" si="0"/>
        <v>0</v>
      </c>
      <c r="H17" s="5"/>
      <c r="I17" s="1" t="s">
        <v>92</v>
      </c>
      <c r="J17" s="3"/>
    </row>
    <row r="18" spans="1:10" ht="15" customHeight="1" x14ac:dyDescent="0.3">
      <c r="A18" s="2"/>
      <c r="B18" s="2" t="s">
        <v>51</v>
      </c>
      <c r="C18" s="2" t="s">
        <v>65</v>
      </c>
      <c r="D18" s="2">
        <v>10</v>
      </c>
      <c r="E18" s="2">
        <v>2</v>
      </c>
      <c r="F18" s="5">
        <v>0.59</v>
      </c>
      <c r="G18" s="5">
        <f t="shared" ref="G18" si="1">F18*E18</f>
        <v>1.18</v>
      </c>
      <c r="H18" s="5"/>
      <c r="I18" s="1" t="s">
        <v>52</v>
      </c>
      <c r="J18" s="4"/>
    </row>
    <row r="19" spans="1:10" ht="15" customHeight="1" x14ac:dyDescent="0.3">
      <c r="A19" s="2"/>
      <c r="B19" s="2" t="s">
        <v>60</v>
      </c>
      <c r="C19" s="2"/>
      <c r="D19" s="2">
        <v>0</v>
      </c>
      <c r="E19" s="2">
        <v>2</v>
      </c>
      <c r="F19" s="5">
        <v>5.86</v>
      </c>
      <c r="G19" s="5">
        <f t="shared" ref="G19" si="2">F19*E19</f>
        <v>11.72</v>
      </c>
      <c r="H19" s="5" t="s">
        <v>55</v>
      </c>
      <c r="I19" s="1" t="s">
        <v>56</v>
      </c>
      <c r="J19" s="4"/>
    </row>
    <row r="20" spans="1:10" ht="15" customHeight="1" x14ac:dyDescent="0.3">
      <c r="A20" s="2"/>
      <c r="B20" s="2" t="s">
        <v>75</v>
      </c>
      <c r="C20" s="2"/>
      <c r="D20" s="2">
        <v>1</v>
      </c>
      <c r="E20" s="2">
        <v>1</v>
      </c>
      <c r="F20" s="5">
        <v>18.600000000000001</v>
      </c>
      <c r="G20" s="5">
        <f t="shared" si="0"/>
        <v>18.600000000000001</v>
      </c>
      <c r="H20" s="5" t="s">
        <v>53</v>
      </c>
      <c r="I20" s="1" t="s">
        <v>54</v>
      </c>
      <c r="J20" s="4"/>
    </row>
    <row r="21" spans="1:10" ht="15" customHeight="1" x14ac:dyDescent="0.3">
      <c r="A21" s="2"/>
      <c r="B21" s="2" t="s">
        <v>75</v>
      </c>
      <c r="C21" s="2"/>
      <c r="D21" s="2">
        <v>1</v>
      </c>
      <c r="E21" s="2">
        <v>1</v>
      </c>
      <c r="F21" s="5">
        <v>18.600000000000001</v>
      </c>
      <c r="G21" s="5"/>
      <c r="H21" s="5" t="s">
        <v>53</v>
      </c>
      <c r="I21" s="1" t="s">
        <v>91</v>
      </c>
      <c r="J21" s="4"/>
    </row>
    <row r="22" spans="1:10" ht="15" customHeight="1" x14ac:dyDescent="0.3">
      <c r="B22" s="2" t="s">
        <v>79</v>
      </c>
      <c r="C22" s="2" t="s">
        <v>80</v>
      </c>
      <c r="D22" s="2">
        <v>1</v>
      </c>
      <c r="E22" s="2">
        <v>1</v>
      </c>
      <c r="F22" s="5">
        <v>65.510000000000005</v>
      </c>
      <c r="G22" s="5">
        <f t="shared" si="0"/>
        <v>65.510000000000005</v>
      </c>
      <c r="H22" s="5" t="s">
        <v>81</v>
      </c>
      <c r="I22" s="1" t="s">
        <v>86</v>
      </c>
      <c r="J22" s="4"/>
    </row>
    <row r="23" spans="1:10" ht="15" customHeight="1" x14ac:dyDescent="0.3">
      <c r="B23" s="2" t="s">
        <v>82</v>
      </c>
      <c r="C23" s="2">
        <v>3200519</v>
      </c>
      <c r="D23" s="2"/>
      <c r="E23" s="2">
        <v>2</v>
      </c>
      <c r="F23" s="5">
        <v>0.15</v>
      </c>
      <c r="G23" s="5">
        <f t="shared" si="0"/>
        <v>0.3</v>
      </c>
      <c r="H23" s="5" t="s">
        <v>90</v>
      </c>
      <c r="I23" s="1" t="s">
        <v>89</v>
      </c>
      <c r="J23" s="4"/>
    </row>
    <row r="24" spans="1:10" ht="15" customHeight="1" x14ac:dyDescent="0.3">
      <c r="B24" s="2" t="s">
        <v>83</v>
      </c>
      <c r="C24" s="2">
        <v>3201097</v>
      </c>
      <c r="D24" s="2"/>
      <c r="E24" s="2">
        <v>2</v>
      </c>
      <c r="F24" s="5">
        <v>0.15</v>
      </c>
      <c r="G24" s="5"/>
      <c r="H24" s="5" t="s">
        <v>90</v>
      </c>
      <c r="I24" s="1" t="s">
        <v>86</v>
      </c>
      <c r="J24" s="4"/>
    </row>
    <row r="25" spans="1:10" ht="15" customHeight="1" x14ac:dyDescent="0.3">
      <c r="B25" s="2" t="s">
        <v>84</v>
      </c>
      <c r="C25" s="2">
        <v>3201110</v>
      </c>
      <c r="D25" s="2"/>
      <c r="E25" s="2">
        <v>2</v>
      </c>
      <c r="F25" s="5">
        <v>0.15</v>
      </c>
      <c r="G25" s="5"/>
      <c r="H25" s="5" t="s">
        <v>90</v>
      </c>
      <c r="I25" s="1" t="s">
        <v>88</v>
      </c>
      <c r="J25" s="4"/>
    </row>
    <row r="26" spans="1:10" ht="15" customHeight="1" x14ac:dyDescent="0.3">
      <c r="B26" s="2" t="s">
        <v>85</v>
      </c>
      <c r="C26" s="2">
        <v>3200904</v>
      </c>
      <c r="D26" s="2"/>
      <c r="E26" s="2">
        <v>2</v>
      </c>
      <c r="F26" s="5">
        <v>0.15</v>
      </c>
      <c r="G26" s="5"/>
      <c r="H26" s="5" t="s">
        <v>90</v>
      </c>
      <c r="I26" s="1" t="s">
        <v>87</v>
      </c>
      <c r="J26" s="4"/>
    </row>
    <row r="27" spans="1:10" ht="15" customHeight="1" x14ac:dyDescent="0.3">
      <c r="A27" s="2"/>
      <c r="B27" s="2"/>
      <c r="C27" s="2"/>
      <c r="D27" s="2"/>
      <c r="E27" s="2"/>
      <c r="F27" s="7" t="s">
        <v>10</v>
      </c>
      <c r="G27" s="5">
        <f>SUM(G2:G23)</f>
        <v>157.54000000000002</v>
      </c>
      <c r="H27" s="5"/>
      <c r="I27" s="3"/>
      <c r="J27" s="4"/>
    </row>
    <row r="28" spans="1:10" ht="15" customHeight="1" x14ac:dyDescent="0.3">
      <c r="A28" s="2"/>
      <c r="B28" s="2"/>
      <c r="C28" s="2"/>
      <c r="D28" s="2"/>
      <c r="E28" s="2"/>
      <c r="F28" s="5"/>
      <c r="G28" s="5"/>
      <c r="H28" s="5"/>
      <c r="I28" s="3"/>
      <c r="J28" s="4"/>
    </row>
    <row r="29" spans="1:10" ht="15" customHeight="1" x14ac:dyDescent="0.3">
      <c r="A29" s="2"/>
      <c r="B29" s="2"/>
      <c r="C29" s="2"/>
      <c r="D29" s="2"/>
      <c r="E29" s="2"/>
      <c r="F29" s="2"/>
      <c r="G29" s="5"/>
      <c r="H29" s="5"/>
      <c r="I29" s="3"/>
    </row>
    <row r="30" spans="1:10" x14ac:dyDescent="0.3">
      <c r="A30" s="2"/>
      <c r="B30" s="2"/>
      <c r="C30" s="2"/>
      <c r="D30" s="2"/>
      <c r="E30" s="2"/>
      <c r="F30" s="2"/>
      <c r="G30" s="2"/>
      <c r="H30" s="2"/>
      <c r="I30" s="3"/>
    </row>
    <row r="31" spans="1:10" x14ac:dyDescent="0.3">
      <c r="A31" s="2"/>
      <c r="B31" s="2"/>
      <c r="C31" s="2"/>
      <c r="D31" s="2"/>
      <c r="E31" s="2"/>
      <c r="F31" s="2"/>
      <c r="G31" s="2"/>
      <c r="H31" s="2"/>
      <c r="I31" s="3"/>
    </row>
    <row r="32" spans="1:10" x14ac:dyDescent="0.3">
      <c r="A32" s="2"/>
      <c r="E32" s="2"/>
      <c r="F32" s="2"/>
      <c r="G32" s="2"/>
      <c r="H32" s="2"/>
      <c r="I32" s="1"/>
    </row>
  </sheetData>
  <phoneticPr fontId="3" type="noConversion"/>
  <hyperlinks>
    <hyperlink ref="I3" r:id="rId1" xr:uid="{E51E5803-9FE0-4C14-AADE-368708EA871F}"/>
    <hyperlink ref="I8" r:id="rId2" display="https://www.digikey.com/en/products/detail/yageo/RC1206FR-071KL/728387" xr:uid="{A702FC16-8F83-4E3A-A93F-D9408DD2F39D}"/>
    <hyperlink ref="I9" r:id="rId3" display="https://www.digikey.com/en/products/detail/stackpole-electronics-inc/RMCF1206FT10K0/1759669" xr:uid="{0F8979C0-6DB2-4B44-9FCD-3042501D593A}"/>
    <hyperlink ref="I10" r:id="rId4" display="https://www.digikey.com/en/products/detail/onsemi/BC550CTA/974185" xr:uid="{1C677837-D3CB-4A91-8EDE-D2113FFCBD6D}"/>
    <hyperlink ref="I11" r:id="rId5" display="https://www.digikey.com/en/products/detail/infineon-technologies/IRF9540NPBF/812088" xr:uid="{729729D4-7B63-4C31-8298-AC9D511D3EF4}"/>
    <hyperlink ref="I12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8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20" r:id="rId11" display="https://www.digikey.com/en/products/detail/mean-well-usa-inc/GST60A12-P1J/7703712" xr:uid="{78CD07DF-07E7-4658-BB2C-F43FEF69A3FE}"/>
    <hyperlink ref="I19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7" r:id="rId13" xr:uid="{9DD314B7-3D79-461E-9C6A-997EEC8DC3BE}"/>
    <hyperlink ref="I15" r:id="rId14" xr:uid="{7FB61CC9-F2C1-46B2-AF32-B41433DD34B1}"/>
    <hyperlink ref="I6" r:id="rId15" xr:uid="{3915B292-27C3-4E7F-86DE-77131ED779EF}"/>
    <hyperlink ref="I22" r:id="rId16" xr:uid="{40ADA453-3DCA-42C1-8201-B866A4C3206E}"/>
    <hyperlink ref="I24" r:id="rId17" xr:uid="{2332F781-0981-412B-8087-9EF083A34C09}"/>
    <hyperlink ref="I26" r:id="rId18" xr:uid="{9D4C7BC7-8534-4598-B66B-9F4B7BF124CC}"/>
    <hyperlink ref="I25" r:id="rId19" xr:uid="{C76A3930-6E7E-4232-B1F1-2ED5A173BA06}"/>
    <hyperlink ref="I23" r:id="rId20" xr:uid="{89930E83-4AEA-4DE5-8019-E1271D4CE40C}"/>
    <hyperlink ref="I21" r:id="rId21" xr:uid="{2D3AA0A6-0D92-4AA2-9646-17F5F35EE4DB}"/>
    <hyperlink ref="I17" r:id="rId22" xr:uid="{40199BE7-DAC8-4F2F-B423-BBE8840267EA}"/>
    <hyperlink ref="I14" r:id="rId23" display="https://nam02.safelinks.protection.outlook.com/?url=https%3A%2F%2Fwww.grainger.com%2Fproduct%2FFlat-Washer-18-8-26WC32&amp;data=05%7C02%7CAIGIESE%40email.sc.edu%7Cf05aada4311643fb699908ded0976258%7C4b2a4b19d135420e8bb2b1cd238998cc%7C0%7C0%7C639177545789061167%7CUnknown%7CTWFpbGZsb3d8eyJFbXB0eU1hcGkiOnRydWUsIlYiOiIwLjAuMDAwMCIsIlAiOiJXaW4zMiIsIkFOIjoiTWFpbCIsIldUIjoyfQ%3D%3D%7C0%7C%7C%7C&amp;sdata=6CoqYV%2BZ3hTIH8hXzw%2B6eFP6vmT5tDuPQxYZMFG%2B9QQ%3D&amp;reserved=0" xr:uid="{E2FAF909-C6EC-4B0D-91E7-8D4FC250EEF3}"/>
    <hyperlink ref="I16" r:id="rId24" xr:uid="{35C9B14E-1DDC-4ADE-A779-D46ACC35493F}"/>
  </hyperlinks>
  <pageMargins left="0.7" right="0.7" top="0.75" bottom="0.75" header="0.3" footer="0.3"/>
  <pageSetup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Alexandra Giese</cp:lastModifiedBy>
  <cp:lastPrinted>2025-05-01T19:35:57Z</cp:lastPrinted>
  <dcterms:created xsi:type="dcterms:W3CDTF">2025-03-06T14:44:50Z</dcterms:created>
  <dcterms:modified xsi:type="dcterms:W3CDTF">2026-06-22T20:58:15Z</dcterms:modified>
</cp:coreProperties>
</file>