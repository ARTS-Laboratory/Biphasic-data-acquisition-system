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iphasic-data-acquisition-system\DAQ_design\Assisi\v0.2.1\"/>
    </mc:Choice>
  </mc:AlternateContent>
  <xr:revisionPtr revIDLastSave="0" documentId="13_ncr:1_{D179D32A-F009-4A21-AAF7-B4A0118EEDFC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15" i="1"/>
  <c r="G17" i="1"/>
  <c r="G12" i="1"/>
  <c r="G13" i="1"/>
  <c r="G14" i="1"/>
  <c r="G4" i="1"/>
  <c r="G3" i="1"/>
  <c r="G5" i="1"/>
  <c r="G6" i="1"/>
  <c r="G7" i="1"/>
  <c r="G8" i="1"/>
  <c r="G9" i="1"/>
  <c r="G10" i="1"/>
  <c r="G11" i="1"/>
  <c r="G2" i="1"/>
  <c r="G18" i="1" l="1"/>
</calcChain>
</file>

<file path=xl/sharedStrings.xml><?xml version="1.0" encoding="utf-8"?>
<sst xmlns="http://schemas.openxmlformats.org/spreadsheetml/2006/main" count="70" uniqueCount="68">
  <si>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</si>
  <si>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</si>
  <si>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</si>
  <si>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</si>
  <si>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</si>
  <si>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</si>
  <si>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</si>
  <si>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</si>
  <si>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</si>
  <si>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</si>
  <si>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</si>
  <si>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</si>
  <si>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5V Barrel Jack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</si>
  <si>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</si>
  <si>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</si>
  <si>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</si>
  <si>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</si>
  <si>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</si>
  <si>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</si>
  <si>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</si>
  <si>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</si>
  <si>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</si>
  <si>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</si>
  <si>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</si>
  <si>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IRF9540N  HEXFET power MOSFET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</si>
  <si>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</si>
  <si>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</si>
  <si>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</si>
  <si>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</si>
  <si>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</si>
  <si>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</si>
  <si>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</si>
  <si>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 Epitaxial Silicon Transistor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</si>
  <si>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</si>
  <si>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</si>
  <si>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</si>
  <si>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</si>
  <si>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</si>
  <si>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</si>
  <si>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</si>
  <si>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</si>
  <si>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</si>
  <si>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</si>
  <si>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</si>
  <si>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BC547BTF onsemi | Single Bipolar Transistors | DigiKey</t>
  </si>
  <si>
    <t>Couldn't find BC550D, but I read BC550CTA is VERY similar. Second vender is part we had in storage (BC547BTF); CTA is higher-gain, low-noise while BTF is mid-gain general purpose.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</si>
  <si>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</si>
  <si>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</si>
  <si>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</si>
  <si>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</si>
  <si>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</si>
  <si>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</si>
  <si>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</si>
  <si>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</si>
  <si>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</si>
  <si>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</si>
  <si>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6 (BTF), 2 (CTA)</t>
  </si>
  <si>
    <t>DSUB Screw</t>
  </si>
  <si>
    <t>5746879-1 TE Connectivity AMP Connectors | D-Sub, D-Shaped Connector Jackscrews | DigiKey</t>
  </si>
  <si>
    <t>Power Supply</t>
  </si>
  <si>
    <t>Convenient and plugs into wall</t>
  </si>
  <si>
    <t>GST60A12-P1J MEAN WELL USA Inc. | AC DC Desktop, Wall Power Adapters | DigiKey</t>
  </si>
  <si>
    <t>Female Header Pins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</si>
  <si>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</si>
  <si>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</si>
  <si>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</si>
  <si>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Part Number</t>
  </si>
  <si>
    <t>D25S33E4GX00LF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</si>
</sst>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3" Type="http://schemas.openxmlformats.org/officeDocument/2006/relationships/hyperlink" Target="https://www.digikey.com/en/products/detail/stackpole-electronics-inc/RMCF1206FT10K0/1759669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mean-well-usa-inc/GST60A12-P1J/7703712" TargetMode="External"/><Relationship Id="rId2" Type="http://schemas.openxmlformats.org/officeDocument/2006/relationships/hyperlink" Target="https://www.digikey.com/en/products/detail/yageo/RC1206FR-071KL/728387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onsemi/BC547BTF/976371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digikey.com/en/products/detail/amphenol-cs-fci/D25S33E4GX00LF/10018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3"/>
  <sheetViews>
    <sheetView tabSelected="1" topLeftCell="I1" zoomScale="115" zoomScaleNormal="115" workbookViewId="0">
      <selection activeCell="I26" sqref="I26"/>
    </sheetView>
  </sheetViews>
  <sheetFormatPr defaultColWidth="8.85546875" defaultRowHeight="15" x14ac:dyDescent="0.25"/>
  <cols>
    <col min="1" max="1" width="25.42578125" bestFit="1" customWidth="1"/>
    <col min="2" max="2" width="30" bestFit="1" customWidth="1"/>
    <col min="3" max="3" width="30" customWidth="1"/>
    <col min="4" max="4" width="17.7109375" bestFit="1" customWidth="1"/>
    <col min="5" max="5" width="15.7109375" bestFit="1" customWidth="1"/>
    <col min="6" max="6" width="13.5703125" bestFit="1" customWidth="1"/>
    <col min="7" max="7" width="9.5703125" bestFit="1" customWidth="1"/>
    <col min="8" max="8" width="147.42578125" bestFit="1" customWidth="1"/>
    <col min="9" max="9" width="79" bestFit="1" customWidth="1"/>
    <col min="10" max="10" width="45.5703125" bestFit="1" customWidth="1"/>
    <col min="11" max="11" width="83.5703125" customWidth="1"/>
    <col min="12" max="12" width="62.5703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</v>
      </c>
      <c r="B1" s="6" t="s">
        <v>2</v>
      </c>
      <c r="C1" s="6" t="s">
        <v>66</v>
      </c>
      <c r="D1" s="6" t="s">
        <v>38</v>
      </c>
      <c r="E1" s="6" t="s">
        <v>36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25">
      <c r="A2" t="s">
        <v>16</v>
      </c>
      <c r="B2" s="2" t="s">
        <v>12</v>
      </c>
      <c r="C2" s="2"/>
      <c r="D2" s="2">
        <v>9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37</v>
      </c>
      <c r="J2" s="4"/>
      <c r="K2" s="2"/>
    </row>
    <row r="3" spans="1:14" ht="15" customHeight="1" x14ac:dyDescent="0.25">
      <c r="A3" t="s">
        <v>17</v>
      </c>
      <c r="B3" s="2" t="s">
        <v>46</v>
      </c>
      <c r="C3" s="2"/>
      <c r="D3" s="2">
        <v>0</v>
      </c>
      <c r="E3" s="2">
        <v>1</v>
      </c>
      <c r="F3" s="5">
        <v>5.9</v>
      </c>
      <c r="G3" s="5">
        <f t="shared" ref="G3:G17" si="0">F3*E3</f>
        <v>5.9</v>
      </c>
      <c r="H3" s="5" t="s">
        <v>55</v>
      </c>
      <c r="I3" s="1" t="s">
        <v>47</v>
      </c>
    </row>
    <row r="4" spans="1:14" ht="15" customHeight="1" x14ac:dyDescent="0.25">
      <c r="A4" t="s">
        <v>18</v>
      </c>
      <c r="B4" s="2" t="s">
        <v>40</v>
      </c>
      <c r="C4" s="2"/>
      <c r="D4" s="2">
        <v>1</v>
      </c>
      <c r="E4" s="2">
        <v>1</v>
      </c>
      <c r="F4" s="5">
        <v>4.72</v>
      </c>
      <c r="G4" s="5">
        <f t="shared" si="0"/>
        <v>4.72</v>
      </c>
      <c r="H4" s="5" t="s">
        <v>41</v>
      </c>
      <c r="I4" s="1" t="s">
        <v>43</v>
      </c>
    </row>
    <row r="5" spans="1:14" ht="15" customHeight="1" x14ac:dyDescent="0.25">
      <c r="A5" t="s">
        <v>18</v>
      </c>
      <c r="B5" s="2" t="s">
        <v>39</v>
      </c>
      <c r="C5" s="2"/>
      <c r="D5" s="2">
        <v>1</v>
      </c>
      <c r="E5" s="2">
        <v>1</v>
      </c>
      <c r="F5" s="5">
        <v>12.55</v>
      </c>
      <c r="G5" s="5">
        <f t="shared" si="0"/>
        <v>12.55</v>
      </c>
      <c r="H5" s="5" t="s">
        <v>41</v>
      </c>
      <c r="I5" s="1" t="s">
        <v>42</v>
      </c>
      <c r="J5" s="4"/>
      <c r="K5" s="4"/>
    </row>
    <row r="6" spans="1:14" ht="15" customHeight="1" x14ac:dyDescent="0.25">
      <c r="A6" t="s">
        <v>25</v>
      </c>
      <c r="B6" s="2" t="s">
        <v>13</v>
      </c>
      <c r="C6" s="4" t="s">
        <v>67</v>
      </c>
      <c r="D6" s="2">
        <v>0</v>
      </c>
      <c r="E6" s="2">
        <v>1</v>
      </c>
      <c r="F6" s="5">
        <v>1.81</v>
      </c>
      <c r="G6" s="5">
        <f t="shared" si="0"/>
        <v>1.81</v>
      </c>
      <c r="H6" s="5" t="s">
        <v>27</v>
      </c>
      <c r="I6" s="1" t="s">
        <v>65</v>
      </c>
      <c r="J6" s="3"/>
      <c r="K6" s="4"/>
    </row>
    <row r="7" spans="1:14" ht="15" customHeight="1" x14ac:dyDescent="0.25">
      <c r="A7" t="s">
        <v>19</v>
      </c>
      <c r="B7" s="2" t="s">
        <v>14</v>
      </c>
      <c r="C7" s="2"/>
      <c r="D7" s="2">
        <v>48</v>
      </c>
      <c r="E7" s="2">
        <v>2</v>
      </c>
      <c r="F7" s="5">
        <v>0.1</v>
      </c>
      <c r="G7" s="5">
        <f t="shared" si="0"/>
        <v>0.2</v>
      </c>
      <c r="H7" s="5" t="s">
        <v>29</v>
      </c>
      <c r="I7" s="1" t="s">
        <v>28</v>
      </c>
      <c r="J7" s="4"/>
    </row>
    <row r="8" spans="1:14" ht="15" customHeight="1" x14ac:dyDescent="0.25">
      <c r="A8" t="s">
        <v>20</v>
      </c>
      <c r="B8" s="2" t="s">
        <v>15</v>
      </c>
      <c r="C8" s="2"/>
      <c r="D8" s="2">
        <v>48</v>
      </c>
      <c r="E8" s="2">
        <v>2</v>
      </c>
      <c r="F8" s="5">
        <v>0.1</v>
      </c>
      <c r="G8" s="5">
        <f t="shared" si="0"/>
        <v>0.2</v>
      </c>
      <c r="H8" s="5" t="s">
        <v>31</v>
      </c>
      <c r="I8" s="1" t="s">
        <v>30</v>
      </c>
    </row>
    <row r="9" spans="1:14" ht="15" customHeight="1" x14ac:dyDescent="0.25">
      <c r="A9" s="2" t="s">
        <v>21</v>
      </c>
      <c r="B9" s="2" t="s">
        <v>32</v>
      </c>
      <c r="C9" s="2"/>
      <c r="D9" s="2" t="s">
        <v>56</v>
      </c>
      <c r="E9" s="2">
        <v>2</v>
      </c>
      <c r="F9" s="5">
        <v>0.28000000000000003</v>
      </c>
      <c r="G9" s="5">
        <f t="shared" si="0"/>
        <v>0.56000000000000005</v>
      </c>
      <c r="H9" s="5" t="s">
        <v>45</v>
      </c>
      <c r="I9" s="1" t="s">
        <v>33</v>
      </c>
      <c r="J9" s="1" t="s">
        <v>44</v>
      </c>
      <c r="K9" s="3"/>
      <c r="L9" s="3"/>
      <c r="M9" s="4"/>
      <c r="N9" s="4"/>
    </row>
    <row r="10" spans="1:14" ht="15" customHeight="1" x14ac:dyDescent="0.25">
      <c r="A10" s="2" t="s">
        <v>22</v>
      </c>
      <c r="B10" s="2" t="s">
        <v>24</v>
      </c>
      <c r="C10" s="2"/>
      <c r="D10" s="2">
        <v>7</v>
      </c>
      <c r="E10" s="2">
        <v>2</v>
      </c>
      <c r="F10" s="5">
        <v>2.0699999999999998</v>
      </c>
      <c r="G10" s="5">
        <f t="shared" si="0"/>
        <v>4.1399999999999997</v>
      </c>
      <c r="H10" s="5" t="s">
        <v>53</v>
      </c>
      <c r="I10" s="1" t="s">
        <v>34</v>
      </c>
      <c r="J10" s="4"/>
    </row>
    <row r="11" spans="1:14" ht="15" customHeight="1" x14ac:dyDescent="0.25">
      <c r="A11" s="2" t="s">
        <v>23</v>
      </c>
      <c r="B11" s="2" t="s">
        <v>26</v>
      </c>
      <c r="C11" s="2"/>
      <c r="D11" s="2">
        <v>0</v>
      </c>
      <c r="E11" s="2">
        <v>2</v>
      </c>
      <c r="F11" s="5">
        <v>1.93</v>
      </c>
      <c r="G11" s="5">
        <f t="shared" si="0"/>
        <v>3.86</v>
      </c>
      <c r="H11" s="5" t="s">
        <v>54</v>
      </c>
      <c r="I11" s="1" t="s">
        <v>35</v>
      </c>
      <c r="J11" s="4"/>
    </row>
    <row r="12" spans="1:14" ht="15" customHeight="1" x14ac:dyDescent="0.25">
      <c r="A12" s="2" t="s">
        <v>52</v>
      </c>
      <c r="B12" s="2" t="s">
        <v>48</v>
      </c>
      <c r="C12" s="2"/>
      <c r="D12" s="2">
        <v>0</v>
      </c>
      <c r="E12" s="2">
        <v>3</v>
      </c>
      <c r="F12" s="5"/>
      <c r="G12" s="5">
        <f t="shared" si="0"/>
        <v>0</v>
      </c>
      <c r="H12" s="5"/>
      <c r="I12" s="1"/>
      <c r="J12" s="4"/>
    </row>
    <row r="13" spans="1:14" ht="15" customHeight="1" x14ac:dyDescent="0.25">
      <c r="A13" s="2" t="s">
        <v>51</v>
      </c>
      <c r="B13" s="2" t="s">
        <v>49</v>
      </c>
      <c r="C13" s="2"/>
      <c r="D13" s="2">
        <v>12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25">
      <c r="A14" s="2"/>
      <c r="B14" s="2" t="s">
        <v>50</v>
      </c>
      <c r="C14" s="2"/>
      <c r="D14" s="2">
        <v>12</v>
      </c>
      <c r="E14" s="2">
        <v>3</v>
      </c>
      <c r="F14" s="5"/>
      <c r="G14" s="5">
        <f t="shared" si="0"/>
        <v>0</v>
      </c>
      <c r="H14" s="5"/>
      <c r="I14" s="1"/>
      <c r="J14" s="4"/>
    </row>
    <row r="15" spans="1:14" ht="15" customHeight="1" x14ac:dyDescent="0.25">
      <c r="A15" s="2"/>
      <c r="B15" s="2" t="s">
        <v>57</v>
      </c>
      <c r="C15" s="2"/>
      <c r="D15" s="2">
        <v>0</v>
      </c>
      <c r="E15" s="2">
        <v>2</v>
      </c>
      <c r="F15" s="5">
        <v>0.59</v>
      </c>
      <c r="G15" s="5">
        <f t="shared" ref="G15" si="1">F15*E15</f>
        <v>1.18</v>
      </c>
      <c r="H15" s="5"/>
      <c r="I15" s="1" t="s">
        <v>58</v>
      </c>
      <c r="J15" s="4"/>
    </row>
    <row r="16" spans="1:14" ht="15" customHeight="1" x14ac:dyDescent="0.25">
      <c r="A16" s="2"/>
      <c r="B16" s="2" t="s">
        <v>62</v>
      </c>
      <c r="C16" s="2"/>
      <c r="D16" s="2">
        <v>0</v>
      </c>
      <c r="E16" s="2">
        <v>2</v>
      </c>
      <c r="F16" s="5">
        <v>5.86</v>
      </c>
      <c r="G16" s="5">
        <f t="shared" ref="G16" si="2">F16*E16</f>
        <v>11.72</v>
      </c>
      <c r="H16" s="5" t="s">
        <v>63</v>
      </c>
      <c r="I16" s="1" t="s">
        <v>64</v>
      </c>
      <c r="J16" s="4"/>
    </row>
    <row r="17" spans="1:10" ht="15" customHeight="1" x14ac:dyDescent="0.25">
      <c r="A17" s="2"/>
      <c r="B17" s="2" t="s">
        <v>59</v>
      </c>
      <c r="C17" s="2"/>
      <c r="D17" s="2">
        <v>0</v>
      </c>
      <c r="E17" s="2">
        <v>1</v>
      </c>
      <c r="F17" s="5">
        <v>18.600000000000001</v>
      </c>
      <c r="G17" s="5">
        <f t="shared" si="0"/>
        <v>18.600000000000001</v>
      </c>
      <c r="H17" s="5" t="s">
        <v>60</v>
      </c>
      <c r="I17" s="1" t="s">
        <v>61</v>
      </c>
      <c r="J17" s="4"/>
    </row>
    <row r="18" spans="1:10" ht="15" customHeight="1" x14ac:dyDescent="0.25">
      <c r="A18" s="2"/>
      <c r="B18" s="2"/>
      <c r="C18" s="2"/>
      <c r="D18" s="2"/>
      <c r="E18" s="2"/>
      <c r="F18" s="7" t="s">
        <v>10</v>
      </c>
      <c r="G18" s="5">
        <f>SUM(G2:G17)</f>
        <v>66.02</v>
      </c>
      <c r="H18" s="5"/>
      <c r="I18" s="3"/>
      <c r="J18" s="4"/>
    </row>
    <row r="19" spans="1:10" ht="15" customHeight="1" x14ac:dyDescent="0.25">
      <c r="A19" s="2"/>
      <c r="B19" s="2"/>
      <c r="C19" s="2"/>
      <c r="D19" s="2"/>
      <c r="E19" s="2"/>
      <c r="F19" s="5"/>
      <c r="G19" s="5"/>
      <c r="H19" s="5"/>
      <c r="I19" s="3"/>
      <c r="J19" s="4"/>
    </row>
    <row r="20" spans="1:10" ht="15" customHeight="1" x14ac:dyDescent="0.25">
      <c r="A20" s="2"/>
      <c r="B20" s="2"/>
      <c r="C20" s="2"/>
      <c r="D20" s="2"/>
      <c r="E20" s="2"/>
      <c r="F20" s="2"/>
      <c r="G20" s="5"/>
      <c r="H20" s="5"/>
      <c r="I20" s="3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3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3"/>
    </row>
    <row r="23" spans="1:10" x14ac:dyDescent="0.25">
      <c r="A23" s="2"/>
      <c r="E23" s="2"/>
      <c r="F23" s="2"/>
      <c r="G23" s="2"/>
      <c r="H23" s="2"/>
      <c r="I23" s="1"/>
    </row>
  </sheetData>
  <phoneticPr fontId="3" type="noConversion"/>
  <hyperlinks>
    <hyperlink ref="I3" r:id="rId1" xr:uid="{E51E5803-9FE0-4C14-AADE-368708EA871F}"/>
    <hyperlink ref="I7" r:id="rId2" display="https://www.digikey.com/en/products/detail/yageo/RC1206FR-071KL/728387" xr:uid="{A702FC16-8F83-4E3A-A93F-D9408DD2F39D}"/>
    <hyperlink ref="I8" r:id="rId3" display="https://www.digikey.com/en/products/detail/stackpole-electronics-inc/RMCF1206FT10K0/1759669" xr:uid="{0F8979C0-6DB2-4B44-9FCD-3042501D593A}"/>
    <hyperlink ref="I9" r:id="rId4" display="https://www.digikey.com/en/products/detail/onsemi/BC550CTA/974185" xr:uid="{1C677837-D3CB-4A91-8EDE-D2113FFCBD6D}"/>
    <hyperlink ref="I10" r:id="rId5" display="https://www.digikey.com/en/products/detail/infineon-technologies/IRF9540NPBF/812088" xr:uid="{729729D4-7B63-4C31-8298-AC9D511D3EF4}"/>
    <hyperlink ref="I11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J9" r:id="rId10" display="https://www.digikey.com/en/products/detail/onsemi/BC547BTF/976371" xr:uid="{D92774B8-B9A8-4AC5-B1A3-EB1FA0C520CD}"/>
    <hyperlink ref="I15" r:id="rId11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7" r:id="rId12" display="https://www.digikey.com/en/products/detail/mean-well-usa-inc/GST60A12-P1J/7703712" xr:uid="{78CD07DF-07E7-4658-BB2C-F43FEF69A3FE}"/>
    <hyperlink ref="I16" r:id="rId13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6" r:id="rId14" xr:uid="{9DD314B7-3D79-461E-9C6A-997EEC8DC3BE}"/>
  </hyperlinks>
  <pageMargins left="0.7" right="0.7" top="0.75" bottom="0.75" header="0.3" footer="0.3"/>
  <pageSetup orientation="portrait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2026-06-03T19:46:29Z</dcterms:modified>
</cp:coreProperties>
</file>