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6d0746713a8929/Documents/GitHub/Biphasic-data-acquisition-system/DAQ_design/Assisi/v0.2.1/"/>
    </mc:Choice>
  </mc:AlternateContent>
  <xr:revisionPtr revIDLastSave="14" documentId="13_ncr:1_{B7E51C6B-E5C5-4586-A688-9E1075DE122B}" xr6:coauthVersionLast="47" xr6:coauthVersionMax="47" xr10:uidLastSave="{575F47A1-551A-4DDA-8562-A4E31D3225D0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23" i="1"/>
  <c r="G22" i="1"/>
  <c r="G6" i="1"/>
  <c r="G15" i="1"/>
  <c r="G19" i="1"/>
  <c r="G18" i="1"/>
  <c r="G20" i="1"/>
  <c r="G13" i="1"/>
  <c r="G14" i="1"/>
  <c r="G17" i="1"/>
  <c r="G4" i="1"/>
  <c r="G3" i="1"/>
  <c r="G5" i="1"/>
  <c r="G7" i="1"/>
  <c r="G8" i="1"/>
  <c r="G9" i="1"/>
  <c r="G10" i="1"/>
  <c r="G11" i="1"/>
  <c r="G12" i="1"/>
  <c r="G2" i="1"/>
  <c r="G27" i="1" l="1"/>
</calcChain>
</file>

<file path=xl/sharedStrings.xml><?xml version="1.0" encoding="utf-8"?>
<sst xmlns="http://schemas.openxmlformats.org/spreadsheetml/2006/main" count="107" uniqueCount="97">
  <si>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</si>
  <si>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</si>
  <si>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</si>
  <si>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</si>
  <si>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</si>
  <si>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</si>
  <si>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</si>
  <si>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</si>
  <si>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</si>
  <si>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</si>
  <si>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</si>
  <si>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</si>
  <si>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</si>
  <si>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</si>
  <si>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</si>
  <si>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</si>
  <si>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</si>
  <si>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</si>
  <si>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</si>
  <si>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</si>
  <si>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</si>
  <si>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</si>
  <si>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</si>
  <si>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</si>
  <si>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</si>
  <si>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</si>
  <si>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</si>
  <si>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</si>
  <si>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</si>
  <si>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</si>
  <si>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</si>
  <si>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</si>
  <si>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</si>
  <si>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</si>
  <si>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</si>
  <si>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</si>
  <si>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</si>
  <si>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</si>
  <si>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</si>
  <si>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</si>
  <si>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</si>
  <si>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</si>
  <si>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</si>
  <si>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</si>
  <si>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</si>
  <si>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</si>
  <si>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</si>
  <si>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</si>
  <si>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</si>
  <si>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</si>
  <si>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</si>
  <si>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</si>
  <si>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</si>
  <si>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</si>
  <si>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</si>
  <si>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</si>
  <si>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</si>
  <si>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</si>
  <si>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</si>
  <si>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</si>
  <si>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</si>
  <si>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</si>
  <si>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</si>
  <si>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</si>
  <si>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</si>
  <si>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</si>
  <si>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</si>
  <si>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</si>
  <si>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</si>
  <si>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</si>
  <si>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</si>
  <si>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</si>
  <si>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</si>
  <si>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</si>
  <si>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</si>
  <si>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</si>
  <si>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</si>
  <si>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</si>
  <si>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</si>
  <si>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</si>
  <si>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</si>
  <si>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</si>
  <si>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</si>
  <si>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</si>
  <si>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</si>
  <si>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</si>
  <si>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</si>
  <si>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</si>
  <si>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</si>
  <si>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</si>
  <si>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</si>
  <si>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</si>
  <si>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</si>
  <si>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</t>
  </si>
  <si>
    <t>M4 x 16 mm Socket Head Cap Screw</t>
  </si>
  <si>
    <t>https://www.grainger.com/product/Socket-Head-Cap-Screw-M4x0-22UC47</t>
  </si>
  <si>
    <t>22UC47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</si>
</sst>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hyperlink" Target="https://www.grainger.com/product/Socket-Head-Cap-Screw-M4x0-22UC47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2"/>
  <sheetViews>
    <sheetView tabSelected="1" topLeftCell="A3" zoomScale="115" zoomScaleNormal="115" workbookViewId="0">
      <selection activeCell="I16" sqref="I16"/>
    </sheetView>
  </sheetViews>
  <sheetFormatPr defaultColWidth="8.88671875" defaultRowHeight="14.4" x14ac:dyDescent="0.3"/>
  <cols>
    <col min="1" max="1" width="12.109375" bestFit="1" customWidth="1"/>
    <col min="2" max="2" width="31.5546875" customWidth="1"/>
    <col min="3" max="3" width="15.5546875" bestFit="1" customWidth="1"/>
    <col min="4" max="4" width="17.88671875" bestFit="1" customWidth="1"/>
    <col min="5" max="5" width="15.88671875" bestFit="1" customWidth="1"/>
    <col min="6" max="6" width="13.5546875" bestFit="1" customWidth="1"/>
    <col min="7" max="7" width="9.5546875" bestFit="1" customWidth="1"/>
    <col min="8" max="8" width="147.44140625" bestFit="1" customWidth="1"/>
    <col min="9" max="9" width="79" bestFit="1" customWidth="1"/>
    <col min="10" max="10" width="45.5546875" bestFit="1" customWidth="1"/>
    <col min="11" max="11" width="83.5546875" customWidth="1"/>
    <col min="12" max="12" width="62.554687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3" si="0">F3*E3</f>
        <v>5.9</v>
      </c>
      <c r="H3" s="5" t="s">
        <v>50</v>
      </c>
      <c r="I3" s="1" t="s">
        <v>42</v>
      </c>
    </row>
    <row r="4" spans="1:14" ht="15" customHeight="1" x14ac:dyDescent="0.3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3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3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3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3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3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3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3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">
      <c r="A14" s="2" t="s">
        <v>46</v>
      </c>
      <c r="B14" s="2" t="s">
        <v>44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 t="s">
        <v>93</v>
      </c>
      <c r="J14" s="4"/>
    </row>
    <row r="15" spans="1:14" ht="15" customHeight="1" x14ac:dyDescent="0.3">
      <c r="A15" s="2"/>
      <c r="B15" s="2" t="s">
        <v>71</v>
      </c>
      <c r="C15" s="2" t="s">
        <v>73</v>
      </c>
      <c r="D15" s="2">
        <v>0</v>
      </c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3">
      <c r="A16" s="2"/>
      <c r="B16" s="2" t="s">
        <v>94</v>
      </c>
      <c r="C16" s="2" t="s">
        <v>96</v>
      </c>
      <c r="D16" s="2"/>
      <c r="E16" s="2">
        <v>1</v>
      </c>
      <c r="F16" s="5">
        <v>5.9</v>
      </c>
      <c r="G16" s="5">
        <f t="shared" si="0"/>
        <v>5.9</v>
      </c>
      <c r="H16" s="5" t="s">
        <v>74</v>
      </c>
      <c r="I16" s="1" t="s">
        <v>95</v>
      </c>
    </row>
    <row r="17" spans="1:10" ht="15" customHeight="1" x14ac:dyDescent="0.3">
      <c r="A17" s="2"/>
      <c r="B17" s="2" t="s">
        <v>45</v>
      </c>
      <c r="C17" s="2"/>
      <c r="D17" s="2">
        <v>12</v>
      </c>
      <c r="E17" s="2">
        <v>3</v>
      </c>
      <c r="F17" s="5"/>
      <c r="G17" s="5">
        <f t="shared" si="0"/>
        <v>0</v>
      </c>
      <c r="H17" s="5"/>
      <c r="I17" s="1" t="s">
        <v>92</v>
      </c>
      <c r="J17" s="3"/>
    </row>
    <row r="18" spans="1:10" ht="15" customHeight="1" x14ac:dyDescent="0.3">
      <c r="A18" s="2"/>
      <c r="B18" s="2" t="s">
        <v>51</v>
      </c>
      <c r="C18" s="2" t="s">
        <v>65</v>
      </c>
      <c r="D18" s="2">
        <v>10</v>
      </c>
      <c r="E18" s="2">
        <v>2</v>
      </c>
      <c r="F18" s="5">
        <v>0.59</v>
      </c>
      <c r="G18" s="5">
        <f t="shared" ref="G18" si="1">F18*E18</f>
        <v>1.18</v>
      </c>
      <c r="H18" s="5"/>
      <c r="I18" s="1" t="s">
        <v>52</v>
      </c>
      <c r="J18" s="4"/>
    </row>
    <row r="19" spans="1:10" ht="15" customHeight="1" x14ac:dyDescent="0.3">
      <c r="A19" s="2"/>
      <c r="B19" s="2" t="s">
        <v>60</v>
      </c>
      <c r="C19" s="2"/>
      <c r="D19" s="2">
        <v>0</v>
      </c>
      <c r="E19" s="2">
        <v>2</v>
      </c>
      <c r="F19" s="5">
        <v>5.86</v>
      </c>
      <c r="G19" s="5">
        <f t="shared" ref="G19" si="2">F19*E19</f>
        <v>11.72</v>
      </c>
      <c r="H19" s="5" t="s">
        <v>55</v>
      </c>
      <c r="I19" s="1" t="s">
        <v>56</v>
      </c>
      <c r="J19" s="4"/>
    </row>
    <row r="20" spans="1:10" ht="15" customHeight="1" x14ac:dyDescent="0.3">
      <c r="A20" s="2"/>
      <c r="B20" s="2" t="s">
        <v>75</v>
      </c>
      <c r="C20" s="2"/>
      <c r="D20" s="2">
        <v>1</v>
      </c>
      <c r="E20" s="2">
        <v>1</v>
      </c>
      <c r="F20" s="5">
        <v>18.600000000000001</v>
      </c>
      <c r="G20" s="5">
        <f t="shared" si="0"/>
        <v>18.600000000000001</v>
      </c>
      <c r="H20" s="5" t="s">
        <v>53</v>
      </c>
      <c r="I20" s="1" t="s">
        <v>54</v>
      </c>
      <c r="J20" s="4"/>
    </row>
    <row r="21" spans="1:10" ht="15" customHeight="1" x14ac:dyDescent="0.3">
      <c r="A21" s="2"/>
      <c r="B21" s="2" t="s">
        <v>75</v>
      </c>
      <c r="C21" s="2"/>
      <c r="D21" s="2">
        <v>1</v>
      </c>
      <c r="E21" s="2">
        <v>1</v>
      </c>
      <c r="F21" s="5">
        <v>18.600000000000001</v>
      </c>
      <c r="G21" s="5"/>
      <c r="H21" s="5" t="s">
        <v>53</v>
      </c>
      <c r="I21" s="1" t="s">
        <v>91</v>
      </c>
      <c r="J21" s="4"/>
    </row>
    <row r="22" spans="1:10" ht="15" customHeight="1" x14ac:dyDescent="0.3">
      <c r="B22" s="2" t="s">
        <v>79</v>
      </c>
      <c r="C22" s="2" t="s">
        <v>80</v>
      </c>
      <c r="D22" s="2">
        <v>1</v>
      </c>
      <c r="E22" s="2">
        <v>1</v>
      </c>
      <c r="F22" s="5">
        <v>65.510000000000005</v>
      </c>
      <c r="G22" s="5">
        <f t="shared" si="0"/>
        <v>65.510000000000005</v>
      </c>
      <c r="H22" s="5" t="s">
        <v>81</v>
      </c>
      <c r="I22" s="1" t="s">
        <v>86</v>
      </c>
      <c r="J22" s="4"/>
    </row>
    <row r="23" spans="1:10" ht="15" customHeight="1" x14ac:dyDescent="0.3">
      <c r="B23" s="2" t="s">
        <v>82</v>
      </c>
      <c r="C23" s="2">
        <v>3200519</v>
      </c>
      <c r="D23" s="2"/>
      <c r="E23" s="2">
        <v>2</v>
      </c>
      <c r="F23" s="5">
        <v>0.15</v>
      </c>
      <c r="G23" s="5">
        <f t="shared" si="0"/>
        <v>0.3</v>
      </c>
      <c r="H23" s="5" t="s">
        <v>90</v>
      </c>
      <c r="I23" s="1" t="s">
        <v>89</v>
      </c>
      <c r="J23" s="4"/>
    </row>
    <row r="24" spans="1:10" ht="15" customHeight="1" x14ac:dyDescent="0.3">
      <c r="B24" s="2" t="s">
        <v>83</v>
      </c>
      <c r="C24" s="2">
        <v>3201097</v>
      </c>
      <c r="D24" s="2"/>
      <c r="E24" s="2">
        <v>2</v>
      </c>
      <c r="F24" s="5">
        <v>0.15</v>
      </c>
      <c r="G24" s="5"/>
      <c r="H24" s="5" t="s">
        <v>90</v>
      </c>
      <c r="I24" s="1" t="s">
        <v>86</v>
      </c>
      <c r="J24" s="4"/>
    </row>
    <row r="25" spans="1:10" ht="15" customHeight="1" x14ac:dyDescent="0.3">
      <c r="B25" s="2" t="s">
        <v>84</v>
      </c>
      <c r="C25" s="2">
        <v>3201110</v>
      </c>
      <c r="D25" s="2"/>
      <c r="E25" s="2">
        <v>2</v>
      </c>
      <c r="F25" s="5">
        <v>0.15</v>
      </c>
      <c r="G25" s="5"/>
      <c r="H25" s="5" t="s">
        <v>90</v>
      </c>
      <c r="I25" s="1" t="s">
        <v>88</v>
      </c>
      <c r="J25" s="4"/>
    </row>
    <row r="26" spans="1:10" ht="15" customHeight="1" x14ac:dyDescent="0.3">
      <c r="B26" s="2" t="s">
        <v>85</v>
      </c>
      <c r="C26" s="2">
        <v>3200904</v>
      </c>
      <c r="D26" s="2"/>
      <c r="E26" s="2">
        <v>2</v>
      </c>
      <c r="F26" s="5">
        <v>0.15</v>
      </c>
      <c r="G26" s="5"/>
      <c r="H26" s="5" t="s">
        <v>90</v>
      </c>
      <c r="I26" s="1" t="s">
        <v>87</v>
      </c>
      <c r="J26" s="4"/>
    </row>
    <row r="27" spans="1:10" ht="15" customHeight="1" x14ac:dyDescent="0.3">
      <c r="A27" s="2"/>
      <c r="B27" s="2"/>
      <c r="C27" s="2"/>
      <c r="D27" s="2"/>
      <c r="E27" s="2"/>
      <c r="F27" s="7" t="s">
        <v>10</v>
      </c>
      <c r="G27" s="5">
        <f>SUM(G2:G23)</f>
        <v>157.54000000000002</v>
      </c>
      <c r="H27" s="5"/>
      <c r="I27" s="3"/>
      <c r="J27" s="4"/>
    </row>
    <row r="28" spans="1:10" ht="15" customHeight="1" x14ac:dyDescent="0.3">
      <c r="A28" s="2"/>
      <c r="B28" s="2"/>
      <c r="C28" s="2"/>
      <c r="D28" s="2"/>
      <c r="E28" s="2"/>
      <c r="F28" s="5"/>
      <c r="G28" s="5"/>
      <c r="H28" s="5"/>
      <c r="I28" s="3"/>
      <c r="J28" s="4"/>
    </row>
    <row r="29" spans="1:10" ht="15" customHeight="1" x14ac:dyDescent="0.3">
      <c r="A29" s="2"/>
      <c r="B29" s="2"/>
      <c r="C29" s="2"/>
      <c r="D29" s="2"/>
      <c r="E29" s="2"/>
      <c r="F29" s="2"/>
      <c r="G29" s="5"/>
      <c r="H29" s="5"/>
      <c r="I29" s="3"/>
    </row>
    <row r="30" spans="1:10" x14ac:dyDescent="0.3">
      <c r="A30" s="2"/>
      <c r="B30" s="2"/>
      <c r="C30" s="2"/>
      <c r="D30" s="2"/>
      <c r="E30" s="2"/>
      <c r="F30" s="2"/>
      <c r="G30" s="2"/>
      <c r="H30" s="2"/>
      <c r="I30" s="3"/>
    </row>
    <row r="31" spans="1:10" x14ac:dyDescent="0.3">
      <c r="A31" s="2"/>
      <c r="B31" s="2"/>
      <c r="C31" s="2"/>
      <c r="D31" s="2"/>
      <c r="E31" s="2"/>
      <c r="F31" s="2"/>
      <c r="G31" s="2"/>
      <c r="H31" s="2"/>
      <c r="I31" s="3"/>
    </row>
    <row r="32" spans="1:10" x14ac:dyDescent="0.3">
      <c r="A32" s="2"/>
      <c r="E32" s="2"/>
      <c r="F32" s="2"/>
      <c r="G32" s="2"/>
      <c r="H32" s="2"/>
      <c r="I32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8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20" r:id="rId11" display="https://www.digikey.com/en/products/detail/mean-well-usa-inc/GST60A12-P1J/7703712" xr:uid="{78CD07DF-07E7-4658-BB2C-F43FEF69A3FE}"/>
    <hyperlink ref="I19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2" r:id="rId16" xr:uid="{40ADA453-3DCA-42C1-8201-B866A4C3206E}"/>
    <hyperlink ref="I24" r:id="rId17" xr:uid="{2332F781-0981-412B-8087-9EF083A34C09}"/>
    <hyperlink ref="I26" r:id="rId18" xr:uid="{9D4C7BC7-8534-4598-B66B-9F4B7BF124CC}"/>
    <hyperlink ref="I25" r:id="rId19" xr:uid="{C76A3930-6E7E-4232-B1F1-2ED5A173BA06}"/>
    <hyperlink ref="I23" r:id="rId20" xr:uid="{89930E83-4AEA-4DE5-8019-E1271D4CE40C}"/>
    <hyperlink ref="I21" r:id="rId21" xr:uid="{2D3AA0A6-0D92-4AA2-9646-17F5F35EE4DB}"/>
    <hyperlink ref="I17" r:id="rId22" xr:uid="{40199BE7-DAC8-4F2F-B423-BBE8840267EA}"/>
    <hyperlink ref="I14" r:id="rId23" display="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" xr:uid="{E2FAF909-C6EC-4B0D-91E7-8D4FC250EEF3}"/>
    <hyperlink ref="I16" r:id="rId24" xr:uid="{35C9B14E-1DDC-4ADE-A779-D46ACC35493F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Alexandra Giese</cp:lastModifiedBy>
  <cp:lastPrinted>2025-05-01T19:35:57Z</cp:lastPrinted>
  <dcterms:created xsi:type="dcterms:W3CDTF">2025-03-06T14:44:50Z</dcterms:created>
  <dcterms:modified xsi:type="dcterms:W3CDTF">2026-06-22T21:29:51Z</dcterms:modified>
</cp:coreProperties>
</file>